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ames" sheetId="2" state="visible" r:id="rId2"/>
    <sheet xmlns:r="http://schemas.openxmlformats.org/officeDocument/2006/relationships" name="Chapter Stats" sheetId="3" state="visible" r:id="rId3"/>
    <sheet xmlns:r="http://schemas.openxmlformats.org/officeDocument/2006/relationships" name="By Classification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'Games'!$A$1:$L$801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FFF2B3"/>
      </patternFill>
    </fill>
    <fill>
      <patternFill patternType="solid">
        <fgColor rgb="00EDEDED"/>
      </patternFill>
    </fill>
    <fill>
      <patternFill patternType="solid">
        <fgColor rgb="00F8C9C4"/>
      </patternFill>
    </fill>
    <fill>
      <patternFill patternType="solid">
        <fgColor rgb="001F1B1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5" borderId="1" pivotButton="0" quotePrefix="0" xfId="0"/>
    <xf numFmtId="0" fontId="2" fillId="3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0" fontId="5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C9C4"/>
        </patternFill>
      </fill>
    </dxf>
    <dxf>
      <fill>
        <patternFill patternType="solid">
          <fgColor rgb="00D5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Template</author>
  </authors>
  <commentList>
    <comment ref="D5" authorId="0" shapeId="0">
      <text>
        <t>Type the season year (e.g. 2026). Used for the app's year tab.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Add new chapters in the empty yellow rows. Codes are what the app stores; keep them 2–4 capital letters.</t>
      </text>
    </comment>
    <comment ref="H1" authorId="0" shapeId="0">
      <text>
        <t>Total games in the whole UIL bracket that week. Defaults match 2021, 2024 and 2025; 2023 was 320/192/96/48/24/12.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3" customWidth="1" min="4" max="4"/>
    <col width="9" customWidth="1" min="5" max="5"/>
    <col width="22" customWidth="1" min="6" max="6"/>
    <col width="8" customWidth="1" min="7" max="7"/>
    <col width="22" customWidth="1" min="8" max="8"/>
    <col width="8" customWidth="1" min="9" max="9"/>
    <col width="9" customWidth="1" min="10" max="10"/>
    <col width="22" customWidth="1" min="11" max="11"/>
    <col width="30" customWidth="1" min="12" max="12"/>
  </cols>
  <sheetData>
    <row r="2">
      <c r="B2" s="1" t="inlineStr">
        <is>
          <t>Texas Playoffs — Season Data Entry Template</t>
        </is>
      </c>
    </row>
    <row r="3">
      <c r="B3" s="2" t="inlineStr">
        <is>
          <t>One workbook per season. Enter one row per playoff game on the Games tab; chapter counts are calculated for you.</t>
        </is>
      </c>
    </row>
    <row r="5">
      <c r="B5" s="3" t="inlineStr">
        <is>
          <t>Season year</t>
        </is>
      </c>
      <c r="D5" s="4" t="n">
        <v>2026</v>
      </c>
    </row>
    <row r="7">
      <c r="B7" s="3" t="inlineStr">
        <is>
          <t>Legend</t>
        </is>
      </c>
    </row>
    <row r="8">
      <c r="B8" s="5" t="n"/>
      <c r="C8" s="2" t="inlineStr">
        <is>
          <t>Yellow = you fill this in</t>
        </is>
      </c>
    </row>
    <row r="9">
      <c r="B9" s="6" t="n"/>
      <c r="C9" s="2" t="inlineStr">
        <is>
          <t>Grey = automatic, don't type here</t>
        </is>
      </c>
    </row>
    <row r="10">
      <c r="B10" s="7" t="n"/>
      <c r="C10" s="2" t="inlineStr">
        <is>
          <t>Red = something to check</t>
        </is>
      </c>
    </row>
    <row r="12">
      <c r="B12" s="3" t="inlineStr">
        <is>
          <t>How to fill in the Games tab</t>
        </is>
      </c>
    </row>
    <row r="13">
      <c r="B13" s="2" t="inlineStr">
        <is>
          <t>Teams and scores are filled in automatically from the UIL brackets during the playoffs — usually all you add is the Chapter.</t>
        </is>
      </c>
    </row>
    <row r="14">
      <c r="B14" s="2" t="inlineStr">
        <is>
          <t>1. Week: 1–6. The round name fills in automatically (1 Bi-District, 2 Area, 3 Regionals, 4 Quarterfinals, 5 Semifinals, 6 Championship).</t>
        </is>
      </c>
    </row>
    <row r="15">
      <c r="B15" s="2" t="inlineStr">
        <is>
          <t>2. Classification and Chapter: pick from the dropdown. Don't type free text — that's what keeps the counts consistent.</t>
        </is>
      </c>
    </row>
    <row r="16">
      <c r="B16" s="2" t="inlineStr">
        <is>
          <t>3. Teams: use the school's full name, the same spelling every year (e.g. "Fort Bend Ridge Point", not "FB Ridge Point").</t>
        </is>
      </c>
    </row>
    <row r="17">
      <c r="B17" s="2" t="inlineStr">
        <is>
          <t>4. Scores: whole numbers. Winner fills in automatically.</t>
        </is>
      </c>
    </row>
    <row r="18">
      <c r="B18" s="2" t="inlineStr">
        <is>
          <t>5. Forfeit: pick Y and leave Chapter blank (no crew worked it). Enter the winner's score as 2 and the loser's as 0, as in past seasons.</t>
        </is>
      </c>
    </row>
    <row r="19">
      <c r="B19" s="2" t="inlineStr">
        <is>
          <t>6. Check column: should be empty. Fix any row it flags.</t>
        </is>
      </c>
    </row>
    <row r="20">
      <c r="B20" s="2" t="inlineStr">
        <is>
          <t>7. When done, look at Chapter Stats: the Difference row should be all zeros (green).</t>
        </is>
      </c>
    </row>
    <row r="21">
      <c r="B21" s="2" t="inlineStr">
        <is>
          <t>New chapter? Add its code and name at the bottom of the Lists tab and it appears in the dropdown.</t>
        </is>
      </c>
    </row>
    <row r="22">
      <c r="B22" s="2" t="inlineStr">
        <is>
          <t>Expected games per week live on the Lists tab — change them if the bracket size changes (e.g. 2023 was 320/192/96/48/24/12).</t>
        </is>
      </c>
    </row>
    <row r="24">
      <c r="B24" s="3" t="inlineStr">
        <is>
          <t>Example row (format only — not counted)</t>
        </is>
      </c>
    </row>
    <row r="25">
      <c r="B25" s="8" t="inlineStr">
        <is>
          <t>Week</t>
        </is>
      </c>
      <c r="C25" s="8" t="inlineStr">
        <is>
          <t>Round</t>
        </is>
      </c>
      <c r="D25" s="8" t="inlineStr">
        <is>
          <t>Classification</t>
        </is>
      </c>
      <c r="E25" s="8" t="inlineStr">
        <is>
          <t>Chapter</t>
        </is>
      </c>
      <c r="F25" s="8" t="inlineStr">
        <is>
          <t>Team 1</t>
        </is>
      </c>
      <c r="G25" s="8" t="inlineStr">
        <is>
          <t>Score 1</t>
        </is>
      </c>
      <c r="H25" s="8" t="inlineStr">
        <is>
          <t>Team 2</t>
        </is>
      </c>
      <c r="I25" s="8" t="inlineStr">
        <is>
          <t>Score 2</t>
        </is>
      </c>
      <c r="J25" s="8" t="inlineStr">
        <is>
          <t>Forfeit</t>
        </is>
      </c>
      <c r="K25" s="8" t="inlineStr">
        <is>
          <t>Winner</t>
        </is>
      </c>
      <c r="L25" s="8" t="inlineStr">
        <is>
          <t>Notes</t>
        </is>
      </c>
    </row>
    <row r="26">
      <c r="B26" s="4" t="n">
        <v>2</v>
      </c>
      <c r="C26" s="9" t="inlineStr">
        <is>
          <t>Area</t>
        </is>
      </c>
      <c r="D26" s="4" t="inlineStr">
        <is>
          <t>6A D1</t>
        </is>
      </c>
      <c r="E26" s="4" t="inlineStr">
        <is>
          <t>HOU</t>
        </is>
      </c>
      <c r="F26" s="4" t="inlineStr">
        <is>
          <t>Cy-Fair</t>
        </is>
      </c>
      <c r="G26" s="4" t="n">
        <v>20</v>
      </c>
      <c r="H26" s="4" t="inlineStr">
        <is>
          <t>Fort Bend Ridge Point</t>
        </is>
      </c>
      <c r="I26" s="4" t="n">
        <v>41</v>
      </c>
      <c r="J26" s="4" t="inlineStr"/>
      <c r="K26" s="9" t="inlineStr">
        <is>
          <t>Fort Bend Ridge Point</t>
        </is>
      </c>
      <c r="L26" s="4" t="inlineStr">
        <is>
          <t>Played at Tully Stadium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10" customWidth="1" min="4" max="4"/>
    <col width="28" customWidth="1" min="5" max="5"/>
    <col width="8" customWidth="1" min="6" max="6"/>
    <col width="28" customWidth="1" min="7" max="7"/>
    <col width="8" customWidth="1" min="8" max="8"/>
    <col width="8" customWidth="1" min="9" max="9"/>
    <col width="28" customWidth="1" min="10" max="10"/>
    <col width="30" customWidth="1" min="11" max="11"/>
    <col width="24" customWidth="1" min="12" max="12"/>
  </cols>
  <sheetData>
    <row r="1">
      <c r="A1" s="10" t="inlineStr">
        <is>
          <t>Week</t>
        </is>
      </c>
      <c r="B1" s="10" t="inlineStr">
        <is>
          <t>Round</t>
        </is>
      </c>
      <c r="C1" s="10" t="inlineStr">
        <is>
          <t>Classification</t>
        </is>
      </c>
      <c r="D1" s="10" t="inlineStr">
        <is>
          <t>Chapter</t>
        </is>
      </c>
      <c r="E1" s="10" t="inlineStr">
        <is>
          <t>Team 1</t>
        </is>
      </c>
      <c r="F1" s="10" t="inlineStr">
        <is>
          <t>Score 1</t>
        </is>
      </c>
      <c r="G1" s="10" t="inlineStr">
        <is>
          <t>Team 2</t>
        </is>
      </c>
      <c r="H1" s="10" t="inlineStr">
        <is>
          <t>Score 2</t>
        </is>
      </c>
      <c r="I1" s="10" t="inlineStr">
        <is>
          <t>Forfeit</t>
        </is>
      </c>
      <c r="J1" s="10" t="inlineStr">
        <is>
          <t>Winner</t>
        </is>
      </c>
      <c r="K1" s="10" t="inlineStr">
        <is>
          <t>Notes</t>
        </is>
      </c>
      <c r="L1" s="10" t="inlineStr">
        <is>
          <t>Check</t>
        </is>
      </c>
    </row>
    <row r="2">
      <c r="A2" s="11" t="n"/>
      <c r="B2" s="9">
        <f>IF(A2="","",IFERROR(INDEX(Lists!$G$2:$G$7,MATCH(A2,Lists!$F$2:$F$7,0)),"?"))</f>
        <v/>
      </c>
      <c r="C2" s="4" t="n"/>
      <c r="D2" s="4" t="n"/>
      <c r="E2" s="4" t="n"/>
      <c r="F2" s="11" t="n"/>
      <c r="G2" s="4" t="n"/>
      <c r="H2" s="11" t="n"/>
      <c r="I2" s="11" t="n"/>
      <c r="J2" s="9">
        <f>IF(OR(F2="",H2=""),"",IF(F2&gt;H2,E2,IF(H2&gt;F2,G2,"")))</f>
        <v/>
      </c>
      <c r="K2" s="4" t="n"/>
      <c r="L2" s="9">
        <f>IF(COUNTA(A2,C2,D2,E2,F2,G2,H2,I2)=0,"",IF(OR(A2="",C2="",E2="",G2=""),"Missing week/class/team",IF(AND(D2="",I2&lt;&gt;"Y"),"No chapter (forfeit?)",IF(AND(D2&lt;&gt;"",I2="Y"),"Forfeit has a chapter",IF(OR(F2="",H2=""),"Missing score",IF(F2=H2,"Tie score",IF(COUNTIFS($A$2:$A$801,A2,$E$2:$E$801,E2)+COUNTIFS($A$2:$A$801,A2,$G$2:$G$801,E2)&gt;1,"Team 1 listed twice this week",IF(COUNTIFS($A$2:$A$801,A2,$E$2:$E$801,G2)+COUNTIFS($A$2:$A$801,A2,$G$2:$G$801,G2)&gt;1,"Team 2 listed twice this week",""))))))))</f>
        <v/>
      </c>
    </row>
    <row r="3">
      <c r="A3" s="11" t="n"/>
      <c r="B3" s="9">
        <f>IF(A3="","",IFERROR(INDEX(Lists!$G$2:$G$7,MATCH(A3,Lists!$F$2:$F$7,0)),"?"))</f>
        <v/>
      </c>
      <c r="C3" s="4" t="n"/>
      <c r="D3" s="4" t="n"/>
      <c r="E3" s="4" t="n"/>
      <c r="F3" s="11" t="n"/>
      <c r="G3" s="4" t="n"/>
      <c r="H3" s="11" t="n"/>
      <c r="I3" s="11" t="n"/>
      <c r="J3" s="9">
        <f>IF(OR(F3="",H3=""),"",IF(F3&gt;H3,E3,IF(H3&gt;F3,G3,"")))</f>
        <v/>
      </c>
      <c r="K3" s="4" t="n"/>
      <c r="L3" s="9">
        <f>IF(COUNTA(A3,C3,D3,E3,F3,G3,H3,I3)=0,"",IF(OR(A3="",C3="",E3="",G3=""),"Missing week/class/team",IF(AND(D3="",I3&lt;&gt;"Y"),"No chapter (forfeit?)",IF(AND(D3&lt;&gt;"",I3="Y"),"Forfeit has a chapter",IF(OR(F3="",H3=""),"Missing score",IF(F3=H3,"Tie score",IF(COUNTIFS($A$2:$A$801,A3,$E$2:$E$801,E3)+COUNTIFS($A$2:$A$801,A3,$G$2:$G$801,E3)&gt;1,"Team 1 listed twice this week",IF(COUNTIFS($A$2:$A$801,A3,$E$2:$E$801,G3)+COUNTIFS($A$2:$A$801,A3,$G$2:$G$801,G3)&gt;1,"Team 2 listed twice this week",""))))))))</f>
        <v/>
      </c>
    </row>
    <row r="4">
      <c r="A4" s="11" t="n"/>
      <c r="B4" s="9">
        <f>IF(A4="","",IFERROR(INDEX(Lists!$G$2:$G$7,MATCH(A4,Lists!$F$2:$F$7,0)),"?"))</f>
        <v/>
      </c>
      <c r="C4" s="4" t="n"/>
      <c r="D4" s="4" t="n"/>
      <c r="E4" s="4" t="n"/>
      <c r="F4" s="11" t="n"/>
      <c r="G4" s="4" t="n"/>
      <c r="H4" s="11" t="n"/>
      <c r="I4" s="11" t="n"/>
      <c r="J4" s="9">
        <f>IF(OR(F4="",H4=""),"",IF(F4&gt;H4,E4,IF(H4&gt;F4,G4,"")))</f>
        <v/>
      </c>
      <c r="K4" s="4" t="n"/>
      <c r="L4" s="9">
        <f>IF(COUNTA(A4,C4,D4,E4,F4,G4,H4,I4)=0,"",IF(OR(A4="",C4="",E4="",G4=""),"Missing week/class/team",IF(AND(D4="",I4&lt;&gt;"Y"),"No chapter (forfeit?)",IF(AND(D4&lt;&gt;"",I4="Y"),"Forfeit has a chapter",IF(OR(F4="",H4=""),"Missing score",IF(F4=H4,"Tie score",IF(COUNTIFS($A$2:$A$801,A4,$E$2:$E$801,E4)+COUNTIFS($A$2:$A$801,A4,$G$2:$G$801,E4)&gt;1,"Team 1 listed twice this week",IF(COUNTIFS($A$2:$A$801,A4,$E$2:$E$801,G4)+COUNTIFS($A$2:$A$801,A4,$G$2:$G$801,G4)&gt;1,"Team 2 listed twice this week",""))))))))</f>
        <v/>
      </c>
    </row>
    <row r="5">
      <c r="A5" s="11" t="n"/>
      <c r="B5" s="9">
        <f>IF(A5="","",IFERROR(INDEX(Lists!$G$2:$G$7,MATCH(A5,Lists!$F$2:$F$7,0)),"?"))</f>
        <v/>
      </c>
      <c r="C5" s="4" t="n"/>
      <c r="D5" s="4" t="n"/>
      <c r="E5" s="4" t="n"/>
      <c r="F5" s="11" t="n"/>
      <c r="G5" s="4" t="n"/>
      <c r="H5" s="11" t="n"/>
      <c r="I5" s="11" t="n"/>
      <c r="J5" s="9">
        <f>IF(OR(F5="",H5=""),"",IF(F5&gt;H5,E5,IF(H5&gt;F5,G5,"")))</f>
        <v/>
      </c>
      <c r="K5" s="4" t="n"/>
      <c r="L5" s="9">
        <f>IF(COUNTA(A5,C5,D5,E5,F5,G5,H5,I5)=0,"",IF(OR(A5="",C5="",E5="",G5=""),"Missing week/class/team",IF(AND(D5="",I5&lt;&gt;"Y"),"No chapter (forfeit?)",IF(AND(D5&lt;&gt;"",I5="Y"),"Forfeit has a chapter",IF(OR(F5="",H5=""),"Missing score",IF(F5=H5,"Tie score",IF(COUNTIFS($A$2:$A$801,A5,$E$2:$E$801,E5)+COUNTIFS($A$2:$A$801,A5,$G$2:$G$801,E5)&gt;1,"Team 1 listed twice this week",IF(COUNTIFS($A$2:$A$801,A5,$E$2:$E$801,G5)+COUNTIFS($A$2:$A$801,A5,$G$2:$G$801,G5)&gt;1,"Team 2 listed twice this week",""))))))))</f>
        <v/>
      </c>
    </row>
    <row r="6">
      <c r="A6" s="11" t="n"/>
      <c r="B6" s="9">
        <f>IF(A6="","",IFERROR(INDEX(Lists!$G$2:$G$7,MATCH(A6,Lists!$F$2:$F$7,0)),"?"))</f>
        <v/>
      </c>
      <c r="C6" s="4" t="n"/>
      <c r="D6" s="4" t="n"/>
      <c r="E6" s="4" t="n"/>
      <c r="F6" s="11" t="n"/>
      <c r="G6" s="4" t="n"/>
      <c r="H6" s="11" t="n"/>
      <c r="I6" s="11" t="n"/>
      <c r="J6" s="9">
        <f>IF(OR(F6="",H6=""),"",IF(F6&gt;H6,E6,IF(H6&gt;F6,G6,"")))</f>
        <v/>
      </c>
      <c r="K6" s="4" t="n"/>
      <c r="L6" s="9">
        <f>IF(COUNTA(A6,C6,D6,E6,F6,G6,H6,I6)=0,"",IF(OR(A6="",C6="",E6="",G6=""),"Missing week/class/team",IF(AND(D6="",I6&lt;&gt;"Y"),"No chapter (forfeit?)",IF(AND(D6&lt;&gt;"",I6="Y"),"Forfeit has a chapter",IF(OR(F6="",H6=""),"Missing score",IF(F6=H6,"Tie score",IF(COUNTIFS($A$2:$A$801,A6,$E$2:$E$801,E6)+COUNTIFS($A$2:$A$801,A6,$G$2:$G$801,E6)&gt;1,"Team 1 listed twice this week",IF(COUNTIFS($A$2:$A$801,A6,$E$2:$E$801,G6)+COUNTIFS($A$2:$A$801,A6,$G$2:$G$801,G6)&gt;1,"Team 2 listed twice this week",""))))))))</f>
        <v/>
      </c>
    </row>
    <row r="7">
      <c r="A7" s="11" t="n"/>
      <c r="B7" s="9">
        <f>IF(A7="","",IFERROR(INDEX(Lists!$G$2:$G$7,MATCH(A7,Lists!$F$2:$F$7,0)),"?"))</f>
        <v/>
      </c>
      <c r="C7" s="4" t="n"/>
      <c r="D7" s="4" t="n"/>
      <c r="E7" s="4" t="n"/>
      <c r="F7" s="11" t="n"/>
      <c r="G7" s="4" t="n"/>
      <c r="H7" s="11" t="n"/>
      <c r="I7" s="11" t="n"/>
      <c r="J7" s="9">
        <f>IF(OR(F7="",H7=""),"",IF(F7&gt;H7,E7,IF(H7&gt;F7,G7,"")))</f>
        <v/>
      </c>
      <c r="K7" s="4" t="n"/>
      <c r="L7" s="9">
        <f>IF(COUNTA(A7,C7,D7,E7,F7,G7,H7,I7)=0,"",IF(OR(A7="",C7="",E7="",G7=""),"Missing week/class/team",IF(AND(D7="",I7&lt;&gt;"Y"),"No chapter (forfeit?)",IF(AND(D7&lt;&gt;"",I7="Y"),"Forfeit has a chapter",IF(OR(F7="",H7=""),"Missing score",IF(F7=H7,"Tie score",IF(COUNTIFS($A$2:$A$801,A7,$E$2:$E$801,E7)+COUNTIFS($A$2:$A$801,A7,$G$2:$G$801,E7)&gt;1,"Team 1 listed twice this week",IF(COUNTIFS($A$2:$A$801,A7,$E$2:$E$801,G7)+COUNTIFS($A$2:$A$801,A7,$G$2:$G$801,G7)&gt;1,"Team 2 listed twice this week",""))))))))</f>
        <v/>
      </c>
    </row>
    <row r="8">
      <c r="A8" s="11" t="n"/>
      <c r="B8" s="9">
        <f>IF(A8="","",IFERROR(INDEX(Lists!$G$2:$G$7,MATCH(A8,Lists!$F$2:$F$7,0)),"?"))</f>
        <v/>
      </c>
      <c r="C8" s="4" t="n"/>
      <c r="D8" s="4" t="n"/>
      <c r="E8" s="4" t="n"/>
      <c r="F8" s="11" t="n"/>
      <c r="G8" s="4" t="n"/>
      <c r="H8" s="11" t="n"/>
      <c r="I8" s="11" t="n"/>
      <c r="J8" s="9">
        <f>IF(OR(F8="",H8=""),"",IF(F8&gt;H8,E8,IF(H8&gt;F8,G8,"")))</f>
        <v/>
      </c>
      <c r="K8" s="4" t="n"/>
      <c r="L8" s="9">
        <f>IF(COUNTA(A8,C8,D8,E8,F8,G8,H8,I8)=0,"",IF(OR(A8="",C8="",E8="",G8=""),"Missing week/class/team",IF(AND(D8="",I8&lt;&gt;"Y"),"No chapter (forfeit?)",IF(AND(D8&lt;&gt;"",I8="Y"),"Forfeit has a chapter",IF(OR(F8="",H8=""),"Missing score",IF(F8=H8,"Tie score",IF(COUNTIFS($A$2:$A$801,A8,$E$2:$E$801,E8)+COUNTIFS($A$2:$A$801,A8,$G$2:$G$801,E8)&gt;1,"Team 1 listed twice this week",IF(COUNTIFS($A$2:$A$801,A8,$E$2:$E$801,G8)+COUNTIFS($A$2:$A$801,A8,$G$2:$G$801,G8)&gt;1,"Team 2 listed twice this week",""))))))))</f>
        <v/>
      </c>
    </row>
    <row r="9">
      <c r="A9" s="11" t="n"/>
      <c r="B9" s="9">
        <f>IF(A9="","",IFERROR(INDEX(Lists!$G$2:$G$7,MATCH(A9,Lists!$F$2:$F$7,0)),"?"))</f>
        <v/>
      </c>
      <c r="C9" s="4" t="n"/>
      <c r="D9" s="4" t="n"/>
      <c r="E9" s="4" t="n"/>
      <c r="F9" s="11" t="n"/>
      <c r="G9" s="4" t="n"/>
      <c r="H9" s="11" t="n"/>
      <c r="I9" s="11" t="n"/>
      <c r="J9" s="9">
        <f>IF(OR(F9="",H9=""),"",IF(F9&gt;H9,E9,IF(H9&gt;F9,G9,"")))</f>
        <v/>
      </c>
      <c r="K9" s="4" t="n"/>
      <c r="L9" s="9">
        <f>IF(COUNTA(A9,C9,D9,E9,F9,G9,H9,I9)=0,"",IF(OR(A9="",C9="",E9="",G9=""),"Missing week/class/team",IF(AND(D9="",I9&lt;&gt;"Y"),"No chapter (forfeit?)",IF(AND(D9&lt;&gt;"",I9="Y"),"Forfeit has a chapter",IF(OR(F9="",H9=""),"Missing score",IF(F9=H9,"Tie score",IF(COUNTIFS($A$2:$A$801,A9,$E$2:$E$801,E9)+COUNTIFS($A$2:$A$801,A9,$G$2:$G$801,E9)&gt;1,"Team 1 listed twice this week",IF(COUNTIFS($A$2:$A$801,A9,$E$2:$E$801,G9)+COUNTIFS($A$2:$A$801,A9,$G$2:$G$801,G9)&gt;1,"Team 2 listed twice this week",""))))))))</f>
        <v/>
      </c>
    </row>
    <row r="10">
      <c r="A10" s="11" t="n"/>
      <c r="B10" s="9">
        <f>IF(A10="","",IFERROR(INDEX(Lists!$G$2:$G$7,MATCH(A10,Lists!$F$2:$F$7,0)),"?"))</f>
        <v/>
      </c>
      <c r="C10" s="4" t="n"/>
      <c r="D10" s="4" t="n"/>
      <c r="E10" s="4" t="n"/>
      <c r="F10" s="11" t="n"/>
      <c r="G10" s="4" t="n"/>
      <c r="H10" s="11" t="n"/>
      <c r="I10" s="11" t="n"/>
      <c r="J10" s="9">
        <f>IF(OR(F10="",H10=""),"",IF(F10&gt;H10,E10,IF(H10&gt;F10,G10,"")))</f>
        <v/>
      </c>
      <c r="K10" s="4" t="n"/>
      <c r="L10" s="9">
        <f>IF(COUNTA(A10,C10,D10,E10,F10,G10,H10,I10)=0,"",IF(OR(A10="",C10="",E10="",G10=""),"Missing week/class/team",IF(AND(D10="",I10&lt;&gt;"Y"),"No chapter (forfeit?)",IF(AND(D10&lt;&gt;"",I10="Y"),"Forfeit has a chapter",IF(OR(F10="",H10=""),"Missing score",IF(F10=H10,"Tie score",IF(COUNTIFS($A$2:$A$801,A10,$E$2:$E$801,E10)+COUNTIFS($A$2:$A$801,A10,$G$2:$G$801,E10)&gt;1,"Team 1 listed twice this week",IF(COUNTIFS($A$2:$A$801,A10,$E$2:$E$801,G10)+COUNTIFS($A$2:$A$801,A10,$G$2:$G$801,G10)&gt;1,"Team 2 listed twice this week",""))))))))</f>
        <v/>
      </c>
    </row>
    <row r="11">
      <c r="A11" s="11" t="n"/>
      <c r="B11" s="9">
        <f>IF(A11="","",IFERROR(INDEX(Lists!$G$2:$G$7,MATCH(A11,Lists!$F$2:$F$7,0)),"?"))</f>
        <v/>
      </c>
      <c r="C11" s="4" t="n"/>
      <c r="D11" s="4" t="n"/>
      <c r="E11" s="4" t="n"/>
      <c r="F11" s="11" t="n"/>
      <c r="G11" s="4" t="n"/>
      <c r="H11" s="11" t="n"/>
      <c r="I11" s="11" t="n"/>
      <c r="J11" s="9">
        <f>IF(OR(F11="",H11=""),"",IF(F11&gt;H11,E11,IF(H11&gt;F11,G11,"")))</f>
        <v/>
      </c>
      <c r="K11" s="4" t="n"/>
      <c r="L11" s="9">
        <f>IF(COUNTA(A11,C11,D11,E11,F11,G11,H11,I11)=0,"",IF(OR(A11="",C11="",E11="",G11=""),"Missing week/class/team",IF(AND(D11="",I11&lt;&gt;"Y"),"No chapter (forfeit?)",IF(AND(D11&lt;&gt;"",I11="Y"),"Forfeit has a chapter",IF(OR(F11="",H11=""),"Missing score",IF(F11=H11,"Tie score",IF(COUNTIFS($A$2:$A$801,A11,$E$2:$E$801,E11)+COUNTIFS($A$2:$A$801,A11,$G$2:$G$801,E11)&gt;1,"Team 1 listed twice this week",IF(COUNTIFS($A$2:$A$801,A11,$E$2:$E$801,G11)+COUNTIFS($A$2:$A$801,A11,$G$2:$G$801,G11)&gt;1,"Team 2 listed twice this week",""))))))))</f>
        <v/>
      </c>
    </row>
    <row r="12">
      <c r="A12" s="11" t="n"/>
      <c r="B12" s="9">
        <f>IF(A12="","",IFERROR(INDEX(Lists!$G$2:$G$7,MATCH(A12,Lists!$F$2:$F$7,0)),"?"))</f>
        <v/>
      </c>
      <c r="C12" s="4" t="n"/>
      <c r="D12" s="4" t="n"/>
      <c r="E12" s="4" t="n"/>
      <c r="F12" s="11" t="n"/>
      <c r="G12" s="4" t="n"/>
      <c r="H12" s="11" t="n"/>
      <c r="I12" s="11" t="n"/>
      <c r="J12" s="9">
        <f>IF(OR(F12="",H12=""),"",IF(F12&gt;H12,E12,IF(H12&gt;F12,G12,"")))</f>
        <v/>
      </c>
      <c r="K12" s="4" t="n"/>
      <c r="L12" s="9">
        <f>IF(COUNTA(A12,C12,D12,E12,F12,G12,H12,I12)=0,"",IF(OR(A12="",C12="",E12="",G12=""),"Missing week/class/team",IF(AND(D12="",I12&lt;&gt;"Y"),"No chapter (forfeit?)",IF(AND(D12&lt;&gt;"",I12="Y"),"Forfeit has a chapter",IF(OR(F12="",H12=""),"Missing score",IF(F12=H12,"Tie score",IF(COUNTIFS($A$2:$A$801,A12,$E$2:$E$801,E12)+COUNTIFS($A$2:$A$801,A12,$G$2:$G$801,E12)&gt;1,"Team 1 listed twice this week",IF(COUNTIFS($A$2:$A$801,A12,$E$2:$E$801,G12)+COUNTIFS($A$2:$A$801,A12,$G$2:$G$801,G12)&gt;1,"Team 2 listed twice this week",""))))))))</f>
        <v/>
      </c>
    </row>
    <row r="13">
      <c r="A13" s="11" t="n"/>
      <c r="B13" s="9">
        <f>IF(A13="","",IFERROR(INDEX(Lists!$G$2:$G$7,MATCH(A13,Lists!$F$2:$F$7,0)),"?"))</f>
        <v/>
      </c>
      <c r="C13" s="4" t="n"/>
      <c r="D13" s="4" t="n"/>
      <c r="E13" s="4" t="n"/>
      <c r="F13" s="11" t="n"/>
      <c r="G13" s="4" t="n"/>
      <c r="H13" s="11" t="n"/>
      <c r="I13" s="11" t="n"/>
      <c r="J13" s="9">
        <f>IF(OR(F13="",H13=""),"",IF(F13&gt;H13,E13,IF(H13&gt;F13,G13,"")))</f>
        <v/>
      </c>
      <c r="K13" s="4" t="n"/>
      <c r="L13" s="9">
        <f>IF(COUNTA(A13,C13,D13,E13,F13,G13,H13,I13)=0,"",IF(OR(A13="",C13="",E13="",G13=""),"Missing week/class/team",IF(AND(D13="",I13&lt;&gt;"Y"),"No chapter (forfeit?)",IF(AND(D13&lt;&gt;"",I13="Y"),"Forfeit has a chapter",IF(OR(F13="",H13=""),"Missing score",IF(F13=H13,"Tie score",IF(COUNTIFS($A$2:$A$801,A13,$E$2:$E$801,E13)+COUNTIFS($A$2:$A$801,A13,$G$2:$G$801,E13)&gt;1,"Team 1 listed twice this week",IF(COUNTIFS($A$2:$A$801,A13,$E$2:$E$801,G13)+COUNTIFS($A$2:$A$801,A13,$G$2:$G$801,G13)&gt;1,"Team 2 listed twice this week",""))))))))</f>
        <v/>
      </c>
    </row>
    <row r="14">
      <c r="A14" s="11" t="n"/>
      <c r="B14" s="9">
        <f>IF(A14="","",IFERROR(INDEX(Lists!$G$2:$G$7,MATCH(A14,Lists!$F$2:$F$7,0)),"?"))</f>
        <v/>
      </c>
      <c r="C14" s="4" t="n"/>
      <c r="D14" s="4" t="n"/>
      <c r="E14" s="4" t="n"/>
      <c r="F14" s="11" t="n"/>
      <c r="G14" s="4" t="n"/>
      <c r="H14" s="11" t="n"/>
      <c r="I14" s="11" t="n"/>
      <c r="J14" s="9">
        <f>IF(OR(F14="",H14=""),"",IF(F14&gt;H14,E14,IF(H14&gt;F14,G14,"")))</f>
        <v/>
      </c>
      <c r="K14" s="4" t="n"/>
      <c r="L14" s="9">
        <f>IF(COUNTA(A14,C14,D14,E14,F14,G14,H14,I14)=0,"",IF(OR(A14="",C14="",E14="",G14=""),"Missing week/class/team",IF(AND(D14="",I14&lt;&gt;"Y"),"No chapter (forfeit?)",IF(AND(D14&lt;&gt;"",I14="Y"),"Forfeit has a chapter",IF(OR(F14="",H14=""),"Missing score",IF(F14=H14,"Tie score",IF(COUNTIFS($A$2:$A$801,A14,$E$2:$E$801,E14)+COUNTIFS($A$2:$A$801,A14,$G$2:$G$801,E14)&gt;1,"Team 1 listed twice this week",IF(COUNTIFS($A$2:$A$801,A14,$E$2:$E$801,G14)+COUNTIFS($A$2:$A$801,A14,$G$2:$G$801,G14)&gt;1,"Team 2 listed twice this week",""))))))))</f>
        <v/>
      </c>
    </row>
    <row r="15">
      <c r="A15" s="11" t="n"/>
      <c r="B15" s="9">
        <f>IF(A15="","",IFERROR(INDEX(Lists!$G$2:$G$7,MATCH(A15,Lists!$F$2:$F$7,0)),"?"))</f>
        <v/>
      </c>
      <c r="C15" s="4" t="n"/>
      <c r="D15" s="4" t="n"/>
      <c r="E15" s="4" t="n"/>
      <c r="F15" s="11" t="n"/>
      <c r="G15" s="4" t="n"/>
      <c r="H15" s="11" t="n"/>
      <c r="I15" s="11" t="n"/>
      <c r="J15" s="9">
        <f>IF(OR(F15="",H15=""),"",IF(F15&gt;H15,E15,IF(H15&gt;F15,G15,"")))</f>
        <v/>
      </c>
      <c r="K15" s="4" t="n"/>
      <c r="L15" s="9">
        <f>IF(COUNTA(A15,C15,D15,E15,F15,G15,H15,I15)=0,"",IF(OR(A15="",C15="",E15="",G15=""),"Missing week/class/team",IF(AND(D15="",I15&lt;&gt;"Y"),"No chapter (forfeit?)",IF(AND(D15&lt;&gt;"",I15="Y"),"Forfeit has a chapter",IF(OR(F15="",H15=""),"Missing score",IF(F15=H15,"Tie score",IF(COUNTIFS($A$2:$A$801,A15,$E$2:$E$801,E15)+COUNTIFS($A$2:$A$801,A15,$G$2:$G$801,E15)&gt;1,"Team 1 listed twice this week",IF(COUNTIFS($A$2:$A$801,A15,$E$2:$E$801,G15)+COUNTIFS($A$2:$A$801,A15,$G$2:$G$801,G15)&gt;1,"Team 2 listed twice this week",""))))))))</f>
        <v/>
      </c>
    </row>
    <row r="16">
      <c r="A16" s="11" t="n"/>
      <c r="B16" s="9">
        <f>IF(A16="","",IFERROR(INDEX(Lists!$G$2:$G$7,MATCH(A16,Lists!$F$2:$F$7,0)),"?"))</f>
        <v/>
      </c>
      <c r="C16" s="4" t="n"/>
      <c r="D16" s="4" t="n"/>
      <c r="E16" s="4" t="n"/>
      <c r="F16" s="11" t="n"/>
      <c r="G16" s="4" t="n"/>
      <c r="H16" s="11" t="n"/>
      <c r="I16" s="11" t="n"/>
      <c r="J16" s="9">
        <f>IF(OR(F16="",H16=""),"",IF(F16&gt;H16,E16,IF(H16&gt;F16,G16,"")))</f>
        <v/>
      </c>
      <c r="K16" s="4" t="n"/>
      <c r="L16" s="9">
        <f>IF(COUNTA(A16,C16,D16,E16,F16,G16,H16,I16)=0,"",IF(OR(A16="",C16="",E16="",G16=""),"Missing week/class/team",IF(AND(D16="",I16&lt;&gt;"Y"),"No chapter (forfeit?)",IF(AND(D16&lt;&gt;"",I16="Y"),"Forfeit has a chapter",IF(OR(F16="",H16=""),"Missing score",IF(F16=H16,"Tie score",IF(COUNTIFS($A$2:$A$801,A16,$E$2:$E$801,E16)+COUNTIFS($A$2:$A$801,A16,$G$2:$G$801,E16)&gt;1,"Team 1 listed twice this week",IF(COUNTIFS($A$2:$A$801,A16,$E$2:$E$801,G16)+COUNTIFS($A$2:$A$801,A16,$G$2:$G$801,G16)&gt;1,"Team 2 listed twice this week",""))))))))</f>
        <v/>
      </c>
    </row>
    <row r="17">
      <c r="A17" s="11" t="n"/>
      <c r="B17" s="9">
        <f>IF(A17="","",IFERROR(INDEX(Lists!$G$2:$G$7,MATCH(A17,Lists!$F$2:$F$7,0)),"?"))</f>
        <v/>
      </c>
      <c r="C17" s="4" t="n"/>
      <c r="D17" s="4" t="n"/>
      <c r="E17" s="4" t="n"/>
      <c r="F17" s="11" t="n"/>
      <c r="G17" s="4" t="n"/>
      <c r="H17" s="11" t="n"/>
      <c r="I17" s="11" t="n"/>
      <c r="J17" s="9">
        <f>IF(OR(F17="",H17=""),"",IF(F17&gt;H17,E17,IF(H17&gt;F17,G17,"")))</f>
        <v/>
      </c>
      <c r="K17" s="4" t="n"/>
      <c r="L17" s="9">
        <f>IF(COUNTA(A17,C17,D17,E17,F17,G17,H17,I17)=0,"",IF(OR(A17="",C17="",E17="",G17=""),"Missing week/class/team",IF(AND(D17="",I17&lt;&gt;"Y"),"No chapter (forfeit?)",IF(AND(D17&lt;&gt;"",I17="Y"),"Forfeit has a chapter",IF(OR(F17="",H17=""),"Missing score",IF(F17=H17,"Tie score",IF(COUNTIFS($A$2:$A$801,A17,$E$2:$E$801,E17)+COUNTIFS($A$2:$A$801,A17,$G$2:$G$801,E17)&gt;1,"Team 1 listed twice this week",IF(COUNTIFS($A$2:$A$801,A17,$E$2:$E$801,G17)+COUNTIFS($A$2:$A$801,A17,$G$2:$G$801,G17)&gt;1,"Team 2 listed twice this week",""))))))))</f>
        <v/>
      </c>
    </row>
    <row r="18">
      <c r="A18" s="11" t="n"/>
      <c r="B18" s="9">
        <f>IF(A18="","",IFERROR(INDEX(Lists!$G$2:$G$7,MATCH(A18,Lists!$F$2:$F$7,0)),"?"))</f>
        <v/>
      </c>
      <c r="C18" s="4" t="n"/>
      <c r="D18" s="4" t="n"/>
      <c r="E18" s="4" t="n"/>
      <c r="F18" s="11" t="n"/>
      <c r="G18" s="4" t="n"/>
      <c r="H18" s="11" t="n"/>
      <c r="I18" s="11" t="n"/>
      <c r="J18" s="9">
        <f>IF(OR(F18="",H18=""),"",IF(F18&gt;H18,E18,IF(H18&gt;F18,G18,"")))</f>
        <v/>
      </c>
      <c r="K18" s="4" t="n"/>
      <c r="L18" s="9">
        <f>IF(COUNTA(A18,C18,D18,E18,F18,G18,H18,I18)=0,"",IF(OR(A18="",C18="",E18="",G18=""),"Missing week/class/team",IF(AND(D18="",I18&lt;&gt;"Y"),"No chapter (forfeit?)",IF(AND(D18&lt;&gt;"",I18="Y"),"Forfeit has a chapter",IF(OR(F18="",H18=""),"Missing score",IF(F18=H18,"Tie score",IF(COUNTIFS($A$2:$A$801,A18,$E$2:$E$801,E18)+COUNTIFS($A$2:$A$801,A18,$G$2:$G$801,E18)&gt;1,"Team 1 listed twice this week",IF(COUNTIFS($A$2:$A$801,A18,$E$2:$E$801,G18)+COUNTIFS($A$2:$A$801,A18,$G$2:$G$801,G18)&gt;1,"Team 2 listed twice this week",""))))))))</f>
        <v/>
      </c>
    </row>
    <row r="19">
      <c r="A19" s="11" t="n"/>
      <c r="B19" s="9">
        <f>IF(A19="","",IFERROR(INDEX(Lists!$G$2:$G$7,MATCH(A19,Lists!$F$2:$F$7,0)),"?"))</f>
        <v/>
      </c>
      <c r="C19" s="4" t="n"/>
      <c r="D19" s="4" t="n"/>
      <c r="E19" s="4" t="n"/>
      <c r="F19" s="11" t="n"/>
      <c r="G19" s="4" t="n"/>
      <c r="H19" s="11" t="n"/>
      <c r="I19" s="11" t="n"/>
      <c r="J19" s="9">
        <f>IF(OR(F19="",H19=""),"",IF(F19&gt;H19,E19,IF(H19&gt;F19,G19,"")))</f>
        <v/>
      </c>
      <c r="K19" s="4" t="n"/>
      <c r="L19" s="9">
        <f>IF(COUNTA(A19,C19,D19,E19,F19,G19,H19,I19)=0,"",IF(OR(A19="",C19="",E19="",G19=""),"Missing week/class/team",IF(AND(D19="",I19&lt;&gt;"Y"),"No chapter (forfeit?)",IF(AND(D19&lt;&gt;"",I19="Y"),"Forfeit has a chapter",IF(OR(F19="",H19=""),"Missing score",IF(F19=H19,"Tie score",IF(COUNTIFS($A$2:$A$801,A19,$E$2:$E$801,E19)+COUNTIFS($A$2:$A$801,A19,$G$2:$G$801,E19)&gt;1,"Team 1 listed twice this week",IF(COUNTIFS($A$2:$A$801,A19,$E$2:$E$801,G19)+COUNTIFS($A$2:$A$801,A19,$G$2:$G$801,G19)&gt;1,"Team 2 listed twice this week",""))))))))</f>
        <v/>
      </c>
    </row>
    <row r="20">
      <c r="A20" s="11" t="n"/>
      <c r="B20" s="9">
        <f>IF(A20="","",IFERROR(INDEX(Lists!$G$2:$G$7,MATCH(A20,Lists!$F$2:$F$7,0)),"?"))</f>
        <v/>
      </c>
      <c r="C20" s="4" t="n"/>
      <c r="D20" s="4" t="n"/>
      <c r="E20" s="4" t="n"/>
      <c r="F20" s="11" t="n"/>
      <c r="G20" s="4" t="n"/>
      <c r="H20" s="11" t="n"/>
      <c r="I20" s="11" t="n"/>
      <c r="J20" s="9">
        <f>IF(OR(F20="",H20=""),"",IF(F20&gt;H20,E20,IF(H20&gt;F20,G20,"")))</f>
        <v/>
      </c>
      <c r="K20" s="4" t="n"/>
      <c r="L20" s="9">
        <f>IF(COUNTA(A20,C20,D20,E20,F20,G20,H20,I20)=0,"",IF(OR(A20="",C20="",E20="",G20=""),"Missing week/class/team",IF(AND(D20="",I20&lt;&gt;"Y"),"No chapter (forfeit?)",IF(AND(D20&lt;&gt;"",I20="Y"),"Forfeit has a chapter",IF(OR(F20="",H20=""),"Missing score",IF(F20=H20,"Tie score",IF(COUNTIFS($A$2:$A$801,A20,$E$2:$E$801,E20)+COUNTIFS($A$2:$A$801,A20,$G$2:$G$801,E20)&gt;1,"Team 1 listed twice this week",IF(COUNTIFS($A$2:$A$801,A20,$E$2:$E$801,G20)+COUNTIFS($A$2:$A$801,A20,$G$2:$G$801,G20)&gt;1,"Team 2 listed twice this week",""))))))))</f>
        <v/>
      </c>
    </row>
    <row r="21">
      <c r="A21" s="11" t="n"/>
      <c r="B21" s="9">
        <f>IF(A21="","",IFERROR(INDEX(Lists!$G$2:$G$7,MATCH(A21,Lists!$F$2:$F$7,0)),"?"))</f>
        <v/>
      </c>
      <c r="C21" s="4" t="n"/>
      <c r="D21" s="4" t="n"/>
      <c r="E21" s="4" t="n"/>
      <c r="F21" s="11" t="n"/>
      <c r="G21" s="4" t="n"/>
      <c r="H21" s="11" t="n"/>
      <c r="I21" s="11" t="n"/>
      <c r="J21" s="9">
        <f>IF(OR(F21="",H21=""),"",IF(F21&gt;H21,E21,IF(H21&gt;F21,G21,"")))</f>
        <v/>
      </c>
      <c r="K21" s="4" t="n"/>
      <c r="L21" s="9">
        <f>IF(COUNTA(A21,C21,D21,E21,F21,G21,H21,I21)=0,"",IF(OR(A21="",C21="",E21="",G21=""),"Missing week/class/team",IF(AND(D21="",I21&lt;&gt;"Y"),"No chapter (forfeit?)",IF(AND(D21&lt;&gt;"",I21="Y"),"Forfeit has a chapter",IF(OR(F21="",H21=""),"Missing score",IF(F21=H21,"Tie score",IF(COUNTIFS($A$2:$A$801,A21,$E$2:$E$801,E21)+COUNTIFS($A$2:$A$801,A21,$G$2:$G$801,E21)&gt;1,"Team 1 listed twice this week",IF(COUNTIFS($A$2:$A$801,A21,$E$2:$E$801,G21)+COUNTIFS($A$2:$A$801,A21,$G$2:$G$801,G21)&gt;1,"Team 2 listed twice this week",""))))))))</f>
        <v/>
      </c>
    </row>
    <row r="22">
      <c r="A22" s="11" t="n"/>
      <c r="B22" s="9">
        <f>IF(A22="","",IFERROR(INDEX(Lists!$G$2:$G$7,MATCH(A22,Lists!$F$2:$F$7,0)),"?"))</f>
        <v/>
      </c>
      <c r="C22" s="4" t="n"/>
      <c r="D22" s="4" t="n"/>
      <c r="E22" s="4" t="n"/>
      <c r="F22" s="11" t="n"/>
      <c r="G22" s="4" t="n"/>
      <c r="H22" s="11" t="n"/>
      <c r="I22" s="11" t="n"/>
      <c r="J22" s="9">
        <f>IF(OR(F22="",H22=""),"",IF(F22&gt;H22,E22,IF(H22&gt;F22,G22,"")))</f>
        <v/>
      </c>
      <c r="K22" s="4" t="n"/>
      <c r="L22" s="9">
        <f>IF(COUNTA(A22,C22,D22,E22,F22,G22,H22,I22)=0,"",IF(OR(A22="",C22="",E22="",G22=""),"Missing week/class/team",IF(AND(D22="",I22&lt;&gt;"Y"),"No chapter (forfeit?)",IF(AND(D22&lt;&gt;"",I22="Y"),"Forfeit has a chapter",IF(OR(F22="",H22=""),"Missing score",IF(F22=H22,"Tie score",IF(COUNTIFS($A$2:$A$801,A22,$E$2:$E$801,E22)+COUNTIFS($A$2:$A$801,A22,$G$2:$G$801,E22)&gt;1,"Team 1 listed twice this week",IF(COUNTIFS($A$2:$A$801,A22,$E$2:$E$801,G22)+COUNTIFS($A$2:$A$801,A22,$G$2:$G$801,G22)&gt;1,"Team 2 listed twice this week",""))))))))</f>
        <v/>
      </c>
    </row>
    <row r="23">
      <c r="A23" s="11" t="n"/>
      <c r="B23" s="9">
        <f>IF(A23="","",IFERROR(INDEX(Lists!$G$2:$G$7,MATCH(A23,Lists!$F$2:$F$7,0)),"?"))</f>
        <v/>
      </c>
      <c r="C23" s="4" t="n"/>
      <c r="D23" s="4" t="n"/>
      <c r="E23" s="4" t="n"/>
      <c r="F23" s="11" t="n"/>
      <c r="G23" s="4" t="n"/>
      <c r="H23" s="11" t="n"/>
      <c r="I23" s="11" t="n"/>
      <c r="J23" s="9">
        <f>IF(OR(F23="",H23=""),"",IF(F23&gt;H23,E23,IF(H23&gt;F23,G23,"")))</f>
        <v/>
      </c>
      <c r="K23" s="4" t="n"/>
      <c r="L23" s="9">
        <f>IF(COUNTA(A23,C23,D23,E23,F23,G23,H23,I23)=0,"",IF(OR(A23="",C23="",E23="",G23=""),"Missing week/class/team",IF(AND(D23="",I23&lt;&gt;"Y"),"No chapter (forfeit?)",IF(AND(D23&lt;&gt;"",I23="Y"),"Forfeit has a chapter",IF(OR(F23="",H23=""),"Missing score",IF(F23=H23,"Tie score",IF(COUNTIFS($A$2:$A$801,A23,$E$2:$E$801,E23)+COUNTIFS($A$2:$A$801,A23,$G$2:$G$801,E23)&gt;1,"Team 1 listed twice this week",IF(COUNTIFS($A$2:$A$801,A23,$E$2:$E$801,G23)+COUNTIFS($A$2:$A$801,A23,$G$2:$G$801,G23)&gt;1,"Team 2 listed twice this week",""))))))))</f>
        <v/>
      </c>
    </row>
    <row r="24">
      <c r="A24" s="11" t="n"/>
      <c r="B24" s="9">
        <f>IF(A24="","",IFERROR(INDEX(Lists!$G$2:$G$7,MATCH(A24,Lists!$F$2:$F$7,0)),"?"))</f>
        <v/>
      </c>
      <c r="C24" s="4" t="n"/>
      <c r="D24" s="4" t="n"/>
      <c r="E24" s="4" t="n"/>
      <c r="F24" s="11" t="n"/>
      <c r="G24" s="4" t="n"/>
      <c r="H24" s="11" t="n"/>
      <c r="I24" s="11" t="n"/>
      <c r="J24" s="9">
        <f>IF(OR(F24="",H24=""),"",IF(F24&gt;H24,E24,IF(H24&gt;F24,G24,"")))</f>
        <v/>
      </c>
      <c r="K24" s="4" t="n"/>
      <c r="L24" s="9">
        <f>IF(COUNTA(A24,C24,D24,E24,F24,G24,H24,I24)=0,"",IF(OR(A24="",C24="",E24="",G24=""),"Missing week/class/team",IF(AND(D24="",I24&lt;&gt;"Y"),"No chapter (forfeit?)",IF(AND(D24&lt;&gt;"",I24="Y"),"Forfeit has a chapter",IF(OR(F24="",H24=""),"Missing score",IF(F24=H24,"Tie score",IF(COUNTIFS($A$2:$A$801,A24,$E$2:$E$801,E24)+COUNTIFS($A$2:$A$801,A24,$G$2:$G$801,E24)&gt;1,"Team 1 listed twice this week",IF(COUNTIFS($A$2:$A$801,A24,$E$2:$E$801,G24)+COUNTIFS($A$2:$A$801,A24,$G$2:$G$801,G24)&gt;1,"Team 2 listed twice this week",""))))))))</f>
        <v/>
      </c>
    </row>
    <row r="25">
      <c r="A25" s="11" t="n"/>
      <c r="B25" s="9">
        <f>IF(A25="","",IFERROR(INDEX(Lists!$G$2:$G$7,MATCH(A25,Lists!$F$2:$F$7,0)),"?"))</f>
        <v/>
      </c>
      <c r="C25" s="4" t="n"/>
      <c r="D25" s="4" t="n"/>
      <c r="E25" s="4" t="n"/>
      <c r="F25" s="11" t="n"/>
      <c r="G25" s="4" t="n"/>
      <c r="H25" s="11" t="n"/>
      <c r="I25" s="11" t="n"/>
      <c r="J25" s="9">
        <f>IF(OR(F25="",H25=""),"",IF(F25&gt;H25,E25,IF(H25&gt;F25,G25,"")))</f>
        <v/>
      </c>
      <c r="K25" s="4" t="n"/>
      <c r="L25" s="9">
        <f>IF(COUNTA(A25,C25,D25,E25,F25,G25,H25,I25)=0,"",IF(OR(A25="",C25="",E25="",G25=""),"Missing week/class/team",IF(AND(D25="",I25&lt;&gt;"Y"),"No chapter (forfeit?)",IF(AND(D25&lt;&gt;"",I25="Y"),"Forfeit has a chapter",IF(OR(F25="",H25=""),"Missing score",IF(F25=H25,"Tie score",IF(COUNTIFS($A$2:$A$801,A25,$E$2:$E$801,E25)+COUNTIFS($A$2:$A$801,A25,$G$2:$G$801,E25)&gt;1,"Team 1 listed twice this week",IF(COUNTIFS($A$2:$A$801,A25,$E$2:$E$801,G25)+COUNTIFS($A$2:$A$801,A25,$G$2:$G$801,G25)&gt;1,"Team 2 listed twice this week",""))))))))</f>
        <v/>
      </c>
    </row>
    <row r="26">
      <c r="A26" s="11" t="n"/>
      <c r="B26" s="9">
        <f>IF(A26="","",IFERROR(INDEX(Lists!$G$2:$G$7,MATCH(A26,Lists!$F$2:$F$7,0)),"?"))</f>
        <v/>
      </c>
      <c r="C26" s="4" t="n"/>
      <c r="D26" s="4" t="n"/>
      <c r="E26" s="4" t="n"/>
      <c r="F26" s="11" t="n"/>
      <c r="G26" s="4" t="n"/>
      <c r="H26" s="11" t="n"/>
      <c r="I26" s="11" t="n"/>
      <c r="J26" s="9">
        <f>IF(OR(F26="",H26=""),"",IF(F26&gt;H26,E26,IF(H26&gt;F26,G26,"")))</f>
        <v/>
      </c>
      <c r="K26" s="4" t="n"/>
      <c r="L26" s="9">
        <f>IF(COUNTA(A26,C26,D26,E26,F26,G26,H26,I26)=0,"",IF(OR(A26="",C26="",E26="",G26=""),"Missing week/class/team",IF(AND(D26="",I26&lt;&gt;"Y"),"No chapter (forfeit?)",IF(AND(D26&lt;&gt;"",I26="Y"),"Forfeit has a chapter",IF(OR(F26="",H26=""),"Missing score",IF(F26=H26,"Tie score",IF(COUNTIFS($A$2:$A$801,A26,$E$2:$E$801,E26)+COUNTIFS($A$2:$A$801,A26,$G$2:$G$801,E26)&gt;1,"Team 1 listed twice this week",IF(COUNTIFS($A$2:$A$801,A26,$E$2:$E$801,G26)+COUNTIFS($A$2:$A$801,A26,$G$2:$G$801,G26)&gt;1,"Team 2 listed twice this week",""))))))))</f>
        <v/>
      </c>
    </row>
    <row r="27">
      <c r="A27" s="11" t="n"/>
      <c r="B27" s="9">
        <f>IF(A27="","",IFERROR(INDEX(Lists!$G$2:$G$7,MATCH(A27,Lists!$F$2:$F$7,0)),"?"))</f>
        <v/>
      </c>
      <c r="C27" s="4" t="n"/>
      <c r="D27" s="4" t="n"/>
      <c r="E27" s="4" t="n"/>
      <c r="F27" s="11" t="n"/>
      <c r="G27" s="4" t="n"/>
      <c r="H27" s="11" t="n"/>
      <c r="I27" s="11" t="n"/>
      <c r="J27" s="9">
        <f>IF(OR(F27="",H27=""),"",IF(F27&gt;H27,E27,IF(H27&gt;F27,G27,"")))</f>
        <v/>
      </c>
      <c r="K27" s="4" t="n"/>
      <c r="L27" s="9">
        <f>IF(COUNTA(A27,C27,D27,E27,F27,G27,H27,I27)=0,"",IF(OR(A27="",C27="",E27="",G27=""),"Missing week/class/team",IF(AND(D27="",I27&lt;&gt;"Y"),"No chapter (forfeit?)",IF(AND(D27&lt;&gt;"",I27="Y"),"Forfeit has a chapter",IF(OR(F27="",H27=""),"Missing score",IF(F27=H27,"Tie score",IF(COUNTIFS($A$2:$A$801,A27,$E$2:$E$801,E27)+COUNTIFS($A$2:$A$801,A27,$G$2:$G$801,E27)&gt;1,"Team 1 listed twice this week",IF(COUNTIFS($A$2:$A$801,A27,$E$2:$E$801,G27)+COUNTIFS($A$2:$A$801,A27,$G$2:$G$801,G27)&gt;1,"Team 2 listed twice this week",""))))))))</f>
        <v/>
      </c>
    </row>
    <row r="28">
      <c r="A28" s="11" t="n"/>
      <c r="B28" s="9">
        <f>IF(A28="","",IFERROR(INDEX(Lists!$G$2:$G$7,MATCH(A28,Lists!$F$2:$F$7,0)),"?"))</f>
        <v/>
      </c>
      <c r="C28" s="4" t="n"/>
      <c r="D28" s="4" t="n"/>
      <c r="E28" s="4" t="n"/>
      <c r="F28" s="11" t="n"/>
      <c r="G28" s="4" t="n"/>
      <c r="H28" s="11" t="n"/>
      <c r="I28" s="11" t="n"/>
      <c r="J28" s="9">
        <f>IF(OR(F28="",H28=""),"",IF(F28&gt;H28,E28,IF(H28&gt;F28,G28,"")))</f>
        <v/>
      </c>
      <c r="K28" s="4" t="n"/>
      <c r="L28" s="9">
        <f>IF(COUNTA(A28,C28,D28,E28,F28,G28,H28,I28)=0,"",IF(OR(A28="",C28="",E28="",G28=""),"Missing week/class/team",IF(AND(D28="",I28&lt;&gt;"Y"),"No chapter (forfeit?)",IF(AND(D28&lt;&gt;"",I28="Y"),"Forfeit has a chapter",IF(OR(F28="",H28=""),"Missing score",IF(F28=H28,"Tie score",IF(COUNTIFS($A$2:$A$801,A28,$E$2:$E$801,E28)+COUNTIFS($A$2:$A$801,A28,$G$2:$G$801,E28)&gt;1,"Team 1 listed twice this week",IF(COUNTIFS($A$2:$A$801,A28,$E$2:$E$801,G28)+COUNTIFS($A$2:$A$801,A28,$G$2:$G$801,G28)&gt;1,"Team 2 listed twice this week",""))))))))</f>
        <v/>
      </c>
    </row>
    <row r="29">
      <c r="A29" s="11" t="n"/>
      <c r="B29" s="9">
        <f>IF(A29="","",IFERROR(INDEX(Lists!$G$2:$G$7,MATCH(A29,Lists!$F$2:$F$7,0)),"?"))</f>
        <v/>
      </c>
      <c r="C29" s="4" t="n"/>
      <c r="D29" s="4" t="n"/>
      <c r="E29" s="4" t="n"/>
      <c r="F29" s="11" t="n"/>
      <c r="G29" s="4" t="n"/>
      <c r="H29" s="11" t="n"/>
      <c r="I29" s="11" t="n"/>
      <c r="J29" s="9">
        <f>IF(OR(F29="",H29=""),"",IF(F29&gt;H29,E29,IF(H29&gt;F29,G29,"")))</f>
        <v/>
      </c>
      <c r="K29" s="4" t="n"/>
      <c r="L29" s="9">
        <f>IF(COUNTA(A29,C29,D29,E29,F29,G29,H29,I29)=0,"",IF(OR(A29="",C29="",E29="",G29=""),"Missing week/class/team",IF(AND(D29="",I29&lt;&gt;"Y"),"No chapter (forfeit?)",IF(AND(D29&lt;&gt;"",I29="Y"),"Forfeit has a chapter",IF(OR(F29="",H29=""),"Missing score",IF(F29=H29,"Tie score",IF(COUNTIFS($A$2:$A$801,A29,$E$2:$E$801,E29)+COUNTIFS($A$2:$A$801,A29,$G$2:$G$801,E29)&gt;1,"Team 1 listed twice this week",IF(COUNTIFS($A$2:$A$801,A29,$E$2:$E$801,G29)+COUNTIFS($A$2:$A$801,A29,$G$2:$G$801,G29)&gt;1,"Team 2 listed twice this week",""))))))))</f>
        <v/>
      </c>
    </row>
    <row r="30">
      <c r="A30" s="11" t="n"/>
      <c r="B30" s="9">
        <f>IF(A30="","",IFERROR(INDEX(Lists!$G$2:$G$7,MATCH(A30,Lists!$F$2:$F$7,0)),"?"))</f>
        <v/>
      </c>
      <c r="C30" s="4" t="n"/>
      <c r="D30" s="4" t="n"/>
      <c r="E30" s="4" t="n"/>
      <c r="F30" s="11" t="n"/>
      <c r="G30" s="4" t="n"/>
      <c r="H30" s="11" t="n"/>
      <c r="I30" s="11" t="n"/>
      <c r="J30" s="9">
        <f>IF(OR(F30="",H30=""),"",IF(F30&gt;H30,E30,IF(H30&gt;F30,G30,"")))</f>
        <v/>
      </c>
      <c r="K30" s="4" t="n"/>
      <c r="L30" s="9">
        <f>IF(COUNTA(A30,C30,D30,E30,F30,G30,H30,I30)=0,"",IF(OR(A30="",C30="",E30="",G30=""),"Missing week/class/team",IF(AND(D30="",I30&lt;&gt;"Y"),"No chapter (forfeit?)",IF(AND(D30&lt;&gt;"",I30="Y"),"Forfeit has a chapter",IF(OR(F30="",H30=""),"Missing score",IF(F30=H30,"Tie score",IF(COUNTIFS($A$2:$A$801,A30,$E$2:$E$801,E30)+COUNTIFS($A$2:$A$801,A30,$G$2:$G$801,E30)&gt;1,"Team 1 listed twice this week",IF(COUNTIFS($A$2:$A$801,A30,$E$2:$E$801,G30)+COUNTIFS($A$2:$A$801,A30,$G$2:$G$801,G30)&gt;1,"Team 2 listed twice this week",""))))))))</f>
        <v/>
      </c>
    </row>
    <row r="31">
      <c r="A31" s="11" t="n"/>
      <c r="B31" s="9">
        <f>IF(A31="","",IFERROR(INDEX(Lists!$G$2:$G$7,MATCH(A31,Lists!$F$2:$F$7,0)),"?"))</f>
        <v/>
      </c>
      <c r="C31" s="4" t="n"/>
      <c r="D31" s="4" t="n"/>
      <c r="E31" s="4" t="n"/>
      <c r="F31" s="11" t="n"/>
      <c r="G31" s="4" t="n"/>
      <c r="H31" s="11" t="n"/>
      <c r="I31" s="11" t="n"/>
      <c r="J31" s="9">
        <f>IF(OR(F31="",H31=""),"",IF(F31&gt;H31,E31,IF(H31&gt;F31,G31,"")))</f>
        <v/>
      </c>
      <c r="K31" s="4" t="n"/>
      <c r="L31" s="9">
        <f>IF(COUNTA(A31,C31,D31,E31,F31,G31,H31,I31)=0,"",IF(OR(A31="",C31="",E31="",G31=""),"Missing week/class/team",IF(AND(D31="",I31&lt;&gt;"Y"),"No chapter (forfeit?)",IF(AND(D31&lt;&gt;"",I31="Y"),"Forfeit has a chapter",IF(OR(F31="",H31=""),"Missing score",IF(F31=H31,"Tie score",IF(COUNTIFS($A$2:$A$801,A31,$E$2:$E$801,E31)+COUNTIFS($A$2:$A$801,A31,$G$2:$G$801,E31)&gt;1,"Team 1 listed twice this week",IF(COUNTIFS($A$2:$A$801,A31,$E$2:$E$801,G31)+COUNTIFS($A$2:$A$801,A31,$G$2:$G$801,G31)&gt;1,"Team 2 listed twice this week",""))))))))</f>
        <v/>
      </c>
    </row>
    <row r="32">
      <c r="A32" s="11" t="n"/>
      <c r="B32" s="9">
        <f>IF(A32="","",IFERROR(INDEX(Lists!$G$2:$G$7,MATCH(A32,Lists!$F$2:$F$7,0)),"?"))</f>
        <v/>
      </c>
      <c r="C32" s="4" t="n"/>
      <c r="D32" s="4" t="n"/>
      <c r="E32" s="4" t="n"/>
      <c r="F32" s="11" t="n"/>
      <c r="G32" s="4" t="n"/>
      <c r="H32" s="11" t="n"/>
      <c r="I32" s="11" t="n"/>
      <c r="J32" s="9">
        <f>IF(OR(F32="",H32=""),"",IF(F32&gt;H32,E32,IF(H32&gt;F32,G32,"")))</f>
        <v/>
      </c>
      <c r="K32" s="4" t="n"/>
      <c r="L32" s="9">
        <f>IF(COUNTA(A32,C32,D32,E32,F32,G32,H32,I32)=0,"",IF(OR(A32="",C32="",E32="",G32=""),"Missing week/class/team",IF(AND(D32="",I32&lt;&gt;"Y"),"No chapter (forfeit?)",IF(AND(D32&lt;&gt;"",I32="Y"),"Forfeit has a chapter",IF(OR(F32="",H32=""),"Missing score",IF(F32=H32,"Tie score",IF(COUNTIFS($A$2:$A$801,A32,$E$2:$E$801,E32)+COUNTIFS($A$2:$A$801,A32,$G$2:$G$801,E32)&gt;1,"Team 1 listed twice this week",IF(COUNTIFS($A$2:$A$801,A32,$E$2:$E$801,G32)+COUNTIFS($A$2:$A$801,A32,$G$2:$G$801,G32)&gt;1,"Team 2 listed twice this week",""))))))))</f>
        <v/>
      </c>
    </row>
    <row r="33">
      <c r="A33" s="11" t="n"/>
      <c r="B33" s="9">
        <f>IF(A33="","",IFERROR(INDEX(Lists!$G$2:$G$7,MATCH(A33,Lists!$F$2:$F$7,0)),"?"))</f>
        <v/>
      </c>
      <c r="C33" s="4" t="n"/>
      <c r="D33" s="4" t="n"/>
      <c r="E33" s="4" t="n"/>
      <c r="F33" s="11" t="n"/>
      <c r="G33" s="4" t="n"/>
      <c r="H33" s="11" t="n"/>
      <c r="I33" s="11" t="n"/>
      <c r="J33" s="9">
        <f>IF(OR(F33="",H33=""),"",IF(F33&gt;H33,E33,IF(H33&gt;F33,G33,"")))</f>
        <v/>
      </c>
      <c r="K33" s="4" t="n"/>
      <c r="L33" s="9">
        <f>IF(COUNTA(A33,C33,D33,E33,F33,G33,H33,I33)=0,"",IF(OR(A33="",C33="",E33="",G33=""),"Missing week/class/team",IF(AND(D33="",I33&lt;&gt;"Y"),"No chapter (forfeit?)",IF(AND(D33&lt;&gt;"",I33="Y"),"Forfeit has a chapter",IF(OR(F33="",H33=""),"Missing score",IF(F33=H33,"Tie score",IF(COUNTIFS($A$2:$A$801,A33,$E$2:$E$801,E33)+COUNTIFS($A$2:$A$801,A33,$G$2:$G$801,E33)&gt;1,"Team 1 listed twice this week",IF(COUNTIFS($A$2:$A$801,A33,$E$2:$E$801,G33)+COUNTIFS($A$2:$A$801,A33,$G$2:$G$801,G33)&gt;1,"Team 2 listed twice this week",""))))))))</f>
        <v/>
      </c>
    </row>
    <row r="34">
      <c r="A34" s="11" t="n"/>
      <c r="B34" s="9">
        <f>IF(A34="","",IFERROR(INDEX(Lists!$G$2:$G$7,MATCH(A34,Lists!$F$2:$F$7,0)),"?"))</f>
        <v/>
      </c>
      <c r="C34" s="4" t="n"/>
      <c r="D34" s="4" t="n"/>
      <c r="E34" s="4" t="n"/>
      <c r="F34" s="11" t="n"/>
      <c r="G34" s="4" t="n"/>
      <c r="H34" s="11" t="n"/>
      <c r="I34" s="11" t="n"/>
      <c r="J34" s="9">
        <f>IF(OR(F34="",H34=""),"",IF(F34&gt;H34,E34,IF(H34&gt;F34,G34,"")))</f>
        <v/>
      </c>
      <c r="K34" s="4" t="n"/>
      <c r="L34" s="9">
        <f>IF(COUNTA(A34,C34,D34,E34,F34,G34,H34,I34)=0,"",IF(OR(A34="",C34="",E34="",G34=""),"Missing week/class/team",IF(AND(D34="",I34&lt;&gt;"Y"),"No chapter (forfeit?)",IF(AND(D34&lt;&gt;"",I34="Y"),"Forfeit has a chapter",IF(OR(F34="",H34=""),"Missing score",IF(F34=H34,"Tie score",IF(COUNTIFS($A$2:$A$801,A34,$E$2:$E$801,E34)+COUNTIFS($A$2:$A$801,A34,$G$2:$G$801,E34)&gt;1,"Team 1 listed twice this week",IF(COUNTIFS($A$2:$A$801,A34,$E$2:$E$801,G34)+COUNTIFS($A$2:$A$801,A34,$G$2:$G$801,G34)&gt;1,"Team 2 listed twice this week",""))))))))</f>
        <v/>
      </c>
    </row>
    <row r="35">
      <c r="A35" s="11" t="n"/>
      <c r="B35" s="9">
        <f>IF(A35="","",IFERROR(INDEX(Lists!$G$2:$G$7,MATCH(A35,Lists!$F$2:$F$7,0)),"?"))</f>
        <v/>
      </c>
      <c r="C35" s="4" t="n"/>
      <c r="D35" s="4" t="n"/>
      <c r="E35" s="4" t="n"/>
      <c r="F35" s="11" t="n"/>
      <c r="G35" s="4" t="n"/>
      <c r="H35" s="11" t="n"/>
      <c r="I35" s="11" t="n"/>
      <c r="J35" s="9">
        <f>IF(OR(F35="",H35=""),"",IF(F35&gt;H35,E35,IF(H35&gt;F35,G35,"")))</f>
        <v/>
      </c>
      <c r="K35" s="4" t="n"/>
      <c r="L35" s="9">
        <f>IF(COUNTA(A35,C35,D35,E35,F35,G35,H35,I35)=0,"",IF(OR(A35="",C35="",E35="",G35=""),"Missing week/class/team",IF(AND(D35="",I35&lt;&gt;"Y"),"No chapter (forfeit?)",IF(AND(D35&lt;&gt;"",I35="Y"),"Forfeit has a chapter",IF(OR(F35="",H35=""),"Missing score",IF(F35=H35,"Tie score",IF(COUNTIFS($A$2:$A$801,A35,$E$2:$E$801,E35)+COUNTIFS($A$2:$A$801,A35,$G$2:$G$801,E35)&gt;1,"Team 1 listed twice this week",IF(COUNTIFS($A$2:$A$801,A35,$E$2:$E$801,G35)+COUNTIFS($A$2:$A$801,A35,$G$2:$G$801,G35)&gt;1,"Team 2 listed twice this week",""))))))))</f>
        <v/>
      </c>
    </row>
    <row r="36">
      <c r="A36" s="11" t="n"/>
      <c r="B36" s="9">
        <f>IF(A36="","",IFERROR(INDEX(Lists!$G$2:$G$7,MATCH(A36,Lists!$F$2:$F$7,0)),"?"))</f>
        <v/>
      </c>
      <c r="C36" s="4" t="n"/>
      <c r="D36" s="4" t="n"/>
      <c r="E36" s="4" t="n"/>
      <c r="F36" s="11" t="n"/>
      <c r="G36" s="4" t="n"/>
      <c r="H36" s="11" t="n"/>
      <c r="I36" s="11" t="n"/>
      <c r="J36" s="9">
        <f>IF(OR(F36="",H36=""),"",IF(F36&gt;H36,E36,IF(H36&gt;F36,G36,"")))</f>
        <v/>
      </c>
      <c r="K36" s="4" t="n"/>
      <c r="L36" s="9">
        <f>IF(COUNTA(A36,C36,D36,E36,F36,G36,H36,I36)=0,"",IF(OR(A36="",C36="",E36="",G36=""),"Missing week/class/team",IF(AND(D36="",I36&lt;&gt;"Y"),"No chapter (forfeit?)",IF(AND(D36&lt;&gt;"",I36="Y"),"Forfeit has a chapter",IF(OR(F36="",H36=""),"Missing score",IF(F36=H36,"Tie score",IF(COUNTIFS($A$2:$A$801,A36,$E$2:$E$801,E36)+COUNTIFS($A$2:$A$801,A36,$G$2:$G$801,E36)&gt;1,"Team 1 listed twice this week",IF(COUNTIFS($A$2:$A$801,A36,$E$2:$E$801,G36)+COUNTIFS($A$2:$A$801,A36,$G$2:$G$801,G36)&gt;1,"Team 2 listed twice this week",""))))))))</f>
        <v/>
      </c>
    </row>
    <row r="37">
      <c r="A37" s="11" t="n"/>
      <c r="B37" s="9">
        <f>IF(A37="","",IFERROR(INDEX(Lists!$G$2:$G$7,MATCH(A37,Lists!$F$2:$F$7,0)),"?"))</f>
        <v/>
      </c>
      <c r="C37" s="4" t="n"/>
      <c r="D37" s="4" t="n"/>
      <c r="E37" s="4" t="n"/>
      <c r="F37" s="11" t="n"/>
      <c r="G37" s="4" t="n"/>
      <c r="H37" s="11" t="n"/>
      <c r="I37" s="11" t="n"/>
      <c r="J37" s="9">
        <f>IF(OR(F37="",H37=""),"",IF(F37&gt;H37,E37,IF(H37&gt;F37,G37,"")))</f>
        <v/>
      </c>
      <c r="K37" s="4" t="n"/>
      <c r="L37" s="9">
        <f>IF(COUNTA(A37,C37,D37,E37,F37,G37,H37,I37)=0,"",IF(OR(A37="",C37="",E37="",G37=""),"Missing week/class/team",IF(AND(D37="",I37&lt;&gt;"Y"),"No chapter (forfeit?)",IF(AND(D37&lt;&gt;"",I37="Y"),"Forfeit has a chapter",IF(OR(F37="",H37=""),"Missing score",IF(F37=H37,"Tie score",IF(COUNTIFS($A$2:$A$801,A37,$E$2:$E$801,E37)+COUNTIFS($A$2:$A$801,A37,$G$2:$G$801,E37)&gt;1,"Team 1 listed twice this week",IF(COUNTIFS($A$2:$A$801,A37,$E$2:$E$801,G37)+COUNTIFS($A$2:$A$801,A37,$G$2:$G$801,G37)&gt;1,"Team 2 listed twice this week",""))))))))</f>
        <v/>
      </c>
    </row>
    <row r="38">
      <c r="A38" s="11" t="n"/>
      <c r="B38" s="9">
        <f>IF(A38="","",IFERROR(INDEX(Lists!$G$2:$G$7,MATCH(A38,Lists!$F$2:$F$7,0)),"?"))</f>
        <v/>
      </c>
      <c r="C38" s="4" t="n"/>
      <c r="D38" s="4" t="n"/>
      <c r="E38" s="4" t="n"/>
      <c r="F38" s="11" t="n"/>
      <c r="G38" s="4" t="n"/>
      <c r="H38" s="11" t="n"/>
      <c r="I38" s="11" t="n"/>
      <c r="J38" s="9">
        <f>IF(OR(F38="",H38=""),"",IF(F38&gt;H38,E38,IF(H38&gt;F38,G38,"")))</f>
        <v/>
      </c>
      <c r="K38" s="4" t="n"/>
      <c r="L38" s="9">
        <f>IF(COUNTA(A38,C38,D38,E38,F38,G38,H38,I38)=0,"",IF(OR(A38="",C38="",E38="",G38=""),"Missing week/class/team",IF(AND(D38="",I38&lt;&gt;"Y"),"No chapter (forfeit?)",IF(AND(D38&lt;&gt;"",I38="Y"),"Forfeit has a chapter",IF(OR(F38="",H38=""),"Missing score",IF(F38=H38,"Tie score",IF(COUNTIFS($A$2:$A$801,A38,$E$2:$E$801,E38)+COUNTIFS($A$2:$A$801,A38,$G$2:$G$801,E38)&gt;1,"Team 1 listed twice this week",IF(COUNTIFS($A$2:$A$801,A38,$E$2:$E$801,G38)+COUNTIFS($A$2:$A$801,A38,$G$2:$G$801,G38)&gt;1,"Team 2 listed twice this week",""))))))))</f>
        <v/>
      </c>
    </row>
    <row r="39">
      <c r="A39" s="11" t="n"/>
      <c r="B39" s="9">
        <f>IF(A39="","",IFERROR(INDEX(Lists!$G$2:$G$7,MATCH(A39,Lists!$F$2:$F$7,0)),"?"))</f>
        <v/>
      </c>
      <c r="C39" s="4" t="n"/>
      <c r="D39" s="4" t="n"/>
      <c r="E39" s="4" t="n"/>
      <c r="F39" s="11" t="n"/>
      <c r="G39" s="4" t="n"/>
      <c r="H39" s="11" t="n"/>
      <c r="I39" s="11" t="n"/>
      <c r="J39" s="9">
        <f>IF(OR(F39="",H39=""),"",IF(F39&gt;H39,E39,IF(H39&gt;F39,G39,"")))</f>
        <v/>
      </c>
      <c r="K39" s="4" t="n"/>
      <c r="L39" s="9">
        <f>IF(COUNTA(A39,C39,D39,E39,F39,G39,H39,I39)=0,"",IF(OR(A39="",C39="",E39="",G39=""),"Missing week/class/team",IF(AND(D39="",I39&lt;&gt;"Y"),"No chapter (forfeit?)",IF(AND(D39&lt;&gt;"",I39="Y"),"Forfeit has a chapter",IF(OR(F39="",H39=""),"Missing score",IF(F39=H39,"Tie score",IF(COUNTIFS($A$2:$A$801,A39,$E$2:$E$801,E39)+COUNTIFS($A$2:$A$801,A39,$G$2:$G$801,E39)&gt;1,"Team 1 listed twice this week",IF(COUNTIFS($A$2:$A$801,A39,$E$2:$E$801,G39)+COUNTIFS($A$2:$A$801,A39,$G$2:$G$801,G39)&gt;1,"Team 2 listed twice this week",""))))))))</f>
        <v/>
      </c>
    </row>
    <row r="40">
      <c r="A40" s="11" t="n"/>
      <c r="B40" s="9">
        <f>IF(A40="","",IFERROR(INDEX(Lists!$G$2:$G$7,MATCH(A40,Lists!$F$2:$F$7,0)),"?"))</f>
        <v/>
      </c>
      <c r="C40" s="4" t="n"/>
      <c r="D40" s="4" t="n"/>
      <c r="E40" s="4" t="n"/>
      <c r="F40" s="11" t="n"/>
      <c r="G40" s="4" t="n"/>
      <c r="H40" s="11" t="n"/>
      <c r="I40" s="11" t="n"/>
      <c r="J40" s="9">
        <f>IF(OR(F40="",H40=""),"",IF(F40&gt;H40,E40,IF(H40&gt;F40,G40,"")))</f>
        <v/>
      </c>
      <c r="K40" s="4" t="n"/>
      <c r="L40" s="9">
        <f>IF(COUNTA(A40,C40,D40,E40,F40,G40,H40,I40)=0,"",IF(OR(A40="",C40="",E40="",G40=""),"Missing week/class/team",IF(AND(D40="",I40&lt;&gt;"Y"),"No chapter (forfeit?)",IF(AND(D40&lt;&gt;"",I40="Y"),"Forfeit has a chapter",IF(OR(F40="",H40=""),"Missing score",IF(F40=H40,"Tie score",IF(COUNTIFS($A$2:$A$801,A40,$E$2:$E$801,E40)+COUNTIFS($A$2:$A$801,A40,$G$2:$G$801,E40)&gt;1,"Team 1 listed twice this week",IF(COUNTIFS($A$2:$A$801,A40,$E$2:$E$801,G40)+COUNTIFS($A$2:$A$801,A40,$G$2:$G$801,G40)&gt;1,"Team 2 listed twice this week",""))))))))</f>
        <v/>
      </c>
    </row>
    <row r="41">
      <c r="A41" s="11" t="n"/>
      <c r="B41" s="9">
        <f>IF(A41="","",IFERROR(INDEX(Lists!$G$2:$G$7,MATCH(A41,Lists!$F$2:$F$7,0)),"?"))</f>
        <v/>
      </c>
      <c r="C41" s="4" t="n"/>
      <c r="D41" s="4" t="n"/>
      <c r="E41" s="4" t="n"/>
      <c r="F41" s="11" t="n"/>
      <c r="G41" s="4" t="n"/>
      <c r="H41" s="11" t="n"/>
      <c r="I41" s="11" t="n"/>
      <c r="J41" s="9">
        <f>IF(OR(F41="",H41=""),"",IF(F41&gt;H41,E41,IF(H41&gt;F41,G41,"")))</f>
        <v/>
      </c>
      <c r="K41" s="4" t="n"/>
      <c r="L41" s="9">
        <f>IF(COUNTA(A41,C41,D41,E41,F41,G41,H41,I41)=0,"",IF(OR(A41="",C41="",E41="",G41=""),"Missing week/class/team",IF(AND(D41="",I41&lt;&gt;"Y"),"No chapter (forfeit?)",IF(AND(D41&lt;&gt;"",I41="Y"),"Forfeit has a chapter",IF(OR(F41="",H41=""),"Missing score",IF(F41=H41,"Tie score",IF(COUNTIFS($A$2:$A$801,A41,$E$2:$E$801,E41)+COUNTIFS($A$2:$A$801,A41,$G$2:$G$801,E41)&gt;1,"Team 1 listed twice this week",IF(COUNTIFS($A$2:$A$801,A41,$E$2:$E$801,G41)+COUNTIFS($A$2:$A$801,A41,$G$2:$G$801,G41)&gt;1,"Team 2 listed twice this week",""))))))))</f>
        <v/>
      </c>
    </row>
    <row r="42">
      <c r="A42" s="11" t="n"/>
      <c r="B42" s="9">
        <f>IF(A42="","",IFERROR(INDEX(Lists!$G$2:$G$7,MATCH(A42,Lists!$F$2:$F$7,0)),"?"))</f>
        <v/>
      </c>
      <c r="C42" s="4" t="n"/>
      <c r="D42" s="4" t="n"/>
      <c r="E42" s="4" t="n"/>
      <c r="F42" s="11" t="n"/>
      <c r="G42" s="4" t="n"/>
      <c r="H42" s="11" t="n"/>
      <c r="I42" s="11" t="n"/>
      <c r="J42" s="9">
        <f>IF(OR(F42="",H42=""),"",IF(F42&gt;H42,E42,IF(H42&gt;F42,G42,"")))</f>
        <v/>
      </c>
      <c r="K42" s="4" t="n"/>
      <c r="L42" s="9">
        <f>IF(COUNTA(A42,C42,D42,E42,F42,G42,H42,I42)=0,"",IF(OR(A42="",C42="",E42="",G42=""),"Missing week/class/team",IF(AND(D42="",I42&lt;&gt;"Y"),"No chapter (forfeit?)",IF(AND(D42&lt;&gt;"",I42="Y"),"Forfeit has a chapter",IF(OR(F42="",H42=""),"Missing score",IF(F42=H42,"Tie score",IF(COUNTIFS($A$2:$A$801,A42,$E$2:$E$801,E42)+COUNTIFS($A$2:$A$801,A42,$G$2:$G$801,E42)&gt;1,"Team 1 listed twice this week",IF(COUNTIFS($A$2:$A$801,A42,$E$2:$E$801,G42)+COUNTIFS($A$2:$A$801,A42,$G$2:$G$801,G42)&gt;1,"Team 2 listed twice this week",""))))))))</f>
        <v/>
      </c>
    </row>
    <row r="43">
      <c r="A43" s="11" t="n"/>
      <c r="B43" s="9">
        <f>IF(A43="","",IFERROR(INDEX(Lists!$G$2:$G$7,MATCH(A43,Lists!$F$2:$F$7,0)),"?"))</f>
        <v/>
      </c>
      <c r="C43" s="4" t="n"/>
      <c r="D43" s="4" t="n"/>
      <c r="E43" s="4" t="n"/>
      <c r="F43" s="11" t="n"/>
      <c r="G43" s="4" t="n"/>
      <c r="H43" s="11" t="n"/>
      <c r="I43" s="11" t="n"/>
      <c r="J43" s="9">
        <f>IF(OR(F43="",H43=""),"",IF(F43&gt;H43,E43,IF(H43&gt;F43,G43,"")))</f>
        <v/>
      </c>
      <c r="K43" s="4" t="n"/>
      <c r="L43" s="9">
        <f>IF(COUNTA(A43,C43,D43,E43,F43,G43,H43,I43)=0,"",IF(OR(A43="",C43="",E43="",G43=""),"Missing week/class/team",IF(AND(D43="",I43&lt;&gt;"Y"),"No chapter (forfeit?)",IF(AND(D43&lt;&gt;"",I43="Y"),"Forfeit has a chapter",IF(OR(F43="",H43=""),"Missing score",IF(F43=H43,"Tie score",IF(COUNTIFS($A$2:$A$801,A43,$E$2:$E$801,E43)+COUNTIFS($A$2:$A$801,A43,$G$2:$G$801,E43)&gt;1,"Team 1 listed twice this week",IF(COUNTIFS($A$2:$A$801,A43,$E$2:$E$801,G43)+COUNTIFS($A$2:$A$801,A43,$G$2:$G$801,G43)&gt;1,"Team 2 listed twice this week",""))))))))</f>
        <v/>
      </c>
    </row>
    <row r="44">
      <c r="A44" s="11" t="n"/>
      <c r="B44" s="9">
        <f>IF(A44="","",IFERROR(INDEX(Lists!$G$2:$G$7,MATCH(A44,Lists!$F$2:$F$7,0)),"?"))</f>
        <v/>
      </c>
      <c r="C44" s="4" t="n"/>
      <c r="D44" s="4" t="n"/>
      <c r="E44" s="4" t="n"/>
      <c r="F44" s="11" t="n"/>
      <c r="G44" s="4" t="n"/>
      <c r="H44" s="11" t="n"/>
      <c r="I44" s="11" t="n"/>
      <c r="J44" s="9">
        <f>IF(OR(F44="",H44=""),"",IF(F44&gt;H44,E44,IF(H44&gt;F44,G44,"")))</f>
        <v/>
      </c>
      <c r="K44" s="4" t="n"/>
      <c r="L44" s="9">
        <f>IF(COUNTA(A44,C44,D44,E44,F44,G44,H44,I44)=0,"",IF(OR(A44="",C44="",E44="",G44=""),"Missing week/class/team",IF(AND(D44="",I44&lt;&gt;"Y"),"No chapter (forfeit?)",IF(AND(D44&lt;&gt;"",I44="Y"),"Forfeit has a chapter",IF(OR(F44="",H44=""),"Missing score",IF(F44=H44,"Tie score",IF(COUNTIFS($A$2:$A$801,A44,$E$2:$E$801,E44)+COUNTIFS($A$2:$A$801,A44,$G$2:$G$801,E44)&gt;1,"Team 1 listed twice this week",IF(COUNTIFS($A$2:$A$801,A44,$E$2:$E$801,G44)+COUNTIFS($A$2:$A$801,A44,$G$2:$G$801,G44)&gt;1,"Team 2 listed twice this week",""))))))))</f>
        <v/>
      </c>
    </row>
    <row r="45">
      <c r="A45" s="11" t="n"/>
      <c r="B45" s="9">
        <f>IF(A45="","",IFERROR(INDEX(Lists!$G$2:$G$7,MATCH(A45,Lists!$F$2:$F$7,0)),"?"))</f>
        <v/>
      </c>
      <c r="C45" s="4" t="n"/>
      <c r="D45" s="4" t="n"/>
      <c r="E45" s="4" t="n"/>
      <c r="F45" s="11" t="n"/>
      <c r="G45" s="4" t="n"/>
      <c r="H45" s="11" t="n"/>
      <c r="I45" s="11" t="n"/>
      <c r="J45" s="9">
        <f>IF(OR(F45="",H45=""),"",IF(F45&gt;H45,E45,IF(H45&gt;F45,G45,"")))</f>
        <v/>
      </c>
      <c r="K45" s="4" t="n"/>
      <c r="L45" s="9">
        <f>IF(COUNTA(A45,C45,D45,E45,F45,G45,H45,I45)=0,"",IF(OR(A45="",C45="",E45="",G45=""),"Missing week/class/team",IF(AND(D45="",I45&lt;&gt;"Y"),"No chapter (forfeit?)",IF(AND(D45&lt;&gt;"",I45="Y"),"Forfeit has a chapter",IF(OR(F45="",H45=""),"Missing score",IF(F45=H45,"Tie score",IF(COUNTIFS($A$2:$A$801,A45,$E$2:$E$801,E45)+COUNTIFS($A$2:$A$801,A45,$G$2:$G$801,E45)&gt;1,"Team 1 listed twice this week",IF(COUNTIFS($A$2:$A$801,A45,$E$2:$E$801,G45)+COUNTIFS($A$2:$A$801,A45,$G$2:$G$801,G45)&gt;1,"Team 2 listed twice this week",""))))))))</f>
        <v/>
      </c>
    </row>
    <row r="46">
      <c r="A46" s="11" t="n"/>
      <c r="B46" s="9">
        <f>IF(A46="","",IFERROR(INDEX(Lists!$G$2:$G$7,MATCH(A46,Lists!$F$2:$F$7,0)),"?"))</f>
        <v/>
      </c>
      <c r="C46" s="4" t="n"/>
      <c r="D46" s="4" t="n"/>
      <c r="E46" s="4" t="n"/>
      <c r="F46" s="11" t="n"/>
      <c r="G46" s="4" t="n"/>
      <c r="H46" s="11" t="n"/>
      <c r="I46" s="11" t="n"/>
      <c r="J46" s="9">
        <f>IF(OR(F46="",H46=""),"",IF(F46&gt;H46,E46,IF(H46&gt;F46,G46,"")))</f>
        <v/>
      </c>
      <c r="K46" s="4" t="n"/>
      <c r="L46" s="9">
        <f>IF(COUNTA(A46,C46,D46,E46,F46,G46,H46,I46)=0,"",IF(OR(A46="",C46="",E46="",G46=""),"Missing week/class/team",IF(AND(D46="",I46&lt;&gt;"Y"),"No chapter (forfeit?)",IF(AND(D46&lt;&gt;"",I46="Y"),"Forfeit has a chapter",IF(OR(F46="",H46=""),"Missing score",IF(F46=H46,"Tie score",IF(COUNTIFS($A$2:$A$801,A46,$E$2:$E$801,E46)+COUNTIFS($A$2:$A$801,A46,$G$2:$G$801,E46)&gt;1,"Team 1 listed twice this week",IF(COUNTIFS($A$2:$A$801,A46,$E$2:$E$801,G46)+COUNTIFS($A$2:$A$801,A46,$G$2:$G$801,G46)&gt;1,"Team 2 listed twice this week",""))))))))</f>
        <v/>
      </c>
    </row>
    <row r="47">
      <c r="A47" s="11" t="n"/>
      <c r="B47" s="9">
        <f>IF(A47="","",IFERROR(INDEX(Lists!$G$2:$G$7,MATCH(A47,Lists!$F$2:$F$7,0)),"?"))</f>
        <v/>
      </c>
      <c r="C47" s="4" t="n"/>
      <c r="D47" s="4" t="n"/>
      <c r="E47" s="4" t="n"/>
      <c r="F47" s="11" t="n"/>
      <c r="G47" s="4" t="n"/>
      <c r="H47" s="11" t="n"/>
      <c r="I47" s="11" t="n"/>
      <c r="J47" s="9">
        <f>IF(OR(F47="",H47=""),"",IF(F47&gt;H47,E47,IF(H47&gt;F47,G47,"")))</f>
        <v/>
      </c>
      <c r="K47" s="4" t="n"/>
      <c r="L47" s="9">
        <f>IF(COUNTA(A47,C47,D47,E47,F47,G47,H47,I47)=0,"",IF(OR(A47="",C47="",E47="",G47=""),"Missing week/class/team",IF(AND(D47="",I47&lt;&gt;"Y"),"No chapter (forfeit?)",IF(AND(D47&lt;&gt;"",I47="Y"),"Forfeit has a chapter",IF(OR(F47="",H47=""),"Missing score",IF(F47=H47,"Tie score",IF(COUNTIFS($A$2:$A$801,A47,$E$2:$E$801,E47)+COUNTIFS($A$2:$A$801,A47,$G$2:$G$801,E47)&gt;1,"Team 1 listed twice this week",IF(COUNTIFS($A$2:$A$801,A47,$E$2:$E$801,G47)+COUNTIFS($A$2:$A$801,A47,$G$2:$G$801,G47)&gt;1,"Team 2 listed twice this week",""))))))))</f>
        <v/>
      </c>
    </row>
    <row r="48">
      <c r="A48" s="11" t="n"/>
      <c r="B48" s="9">
        <f>IF(A48="","",IFERROR(INDEX(Lists!$G$2:$G$7,MATCH(A48,Lists!$F$2:$F$7,0)),"?"))</f>
        <v/>
      </c>
      <c r="C48" s="4" t="n"/>
      <c r="D48" s="4" t="n"/>
      <c r="E48" s="4" t="n"/>
      <c r="F48" s="11" t="n"/>
      <c r="G48" s="4" t="n"/>
      <c r="H48" s="11" t="n"/>
      <c r="I48" s="11" t="n"/>
      <c r="J48" s="9">
        <f>IF(OR(F48="",H48=""),"",IF(F48&gt;H48,E48,IF(H48&gt;F48,G48,"")))</f>
        <v/>
      </c>
      <c r="K48" s="4" t="n"/>
      <c r="L48" s="9">
        <f>IF(COUNTA(A48,C48,D48,E48,F48,G48,H48,I48)=0,"",IF(OR(A48="",C48="",E48="",G48=""),"Missing week/class/team",IF(AND(D48="",I48&lt;&gt;"Y"),"No chapter (forfeit?)",IF(AND(D48&lt;&gt;"",I48="Y"),"Forfeit has a chapter",IF(OR(F48="",H48=""),"Missing score",IF(F48=H48,"Tie score",IF(COUNTIFS($A$2:$A$801,A48,$E$2:$E$801,E48)+COUNTIFS($A$2:$A$801,A48,$G$2:$G$801,E48)&gt;1,"Team 1 listed twice this week",IF(COUNTIFS($A$2:$A$801,A48,$E$2:$E$801,G48)+COUNTIFS($A$2:$A$801,A48,$G$2:$G$801,G48)&gt;1,"Team 2 listed twice this week",""))))))))</f>
        <v/>
      </c>
    </row>
    <row r="49">
      <c r="A49" s="11" t="n"/>
      <c r="B49" s="9">
        <f>IF(A49="","",IFERROR(INDEX(Lists!$G$2:$G$7,MATCH(A49,Lists!$F$2:$F$7,0)),"?"))</f>
        <v/>
      </c>
      <c r="C49" s="4" t="n"/>
      <c r="D49" s="4" t="n"/>
      <c r="E49" s="4" t="n"/>
      <c r="F49" s="11" t="n"/>
      <c r="G49" s="4" t="n"/>
      <c r="H49" s="11" t="n"/>
      <c r="I49" s="11" t="n"/>
      <c r="J49" s="9">
        <f>IF(OR(F49="",H49=""),"",IF(F49&gt;H49,E49,IF(H49&gt;F49,G49,"")))</f>
        <v/>
      </c>
      <c r="K49" s="4" t="n"/>
      <c r="L49" s="9">
        <f>IF(COUNTA(A49,C49,D49,E49,F49,G49,H49,I49)=0,"",IF(OR(A49="",C49="",E49="",G49=""),"Missing week/class/team",IF(AND(D49="",I49&lt;&gt;"Y"),"No chapter (forfeit?)",IF(AND(D49&lt;&gt;"",I49="Y"),"Forfeit has a chapter",IF(OR(F49="",H49=""),"Missing score",IF(F49=H49,"Tie score",IF(COUNTIFS($A$2:$A$801,A49,$E$2:$E$801,E49)+COUNTIFS($A$2:$A$801,A49,$G$2:$G$801,E49)&gt;1,"Team 1 listed twice this week",IF(COUNTIFS($A$2:$A$801,A49,$E$2:$E$801,G49)+COUNTIFS($A$2:$A$801,A49,$G$2:$G$801,G49)&gt;1,"Team 2 listed twice this week",""))))))))</f>
        <v/>
      </c>
    </row>
    <row r="50">
      <c r="A50" s="11" t="n"/>
      <c r="B50" s="9">
        <f>IF(A50="","",IFERROR(INDEX(Lists!$G$2:$G$7,MATCH(A50,Lists!$F$2:$F$7,0)),"?"))</f>
        <v/>
      </c>
      <c r="C50" s="4" t="n"/>
      <c r="D50" s="4" t="n"/>
      <c r="E50" s="4" t="n"/>
      <c r="F50" s="11" t="n"/>
      <c r="G50" s="4" t="n"/>
      <c r="H50" s="11" t="n"/>
      <c r="I50" s="11" t="n"/>
      <c r="J50" s="9">
        <f>IF(OR(F50="",H50=""),"",IF(F50&gt;H50,E50,IF(H50&gt;F50,G50,"")))</f>
        <v/>
      </c>
      <c r="K50" s="4" t="n"/>
      <c r="L50" s="9">
        <f>IF(COUNTA(A50,C50,D50,E50,F50,G50,H50,I50)=0,"",IF(OR(A50="",C50="",E50="",G50=""),"Missing week/class/team",IF(AND(D50="",I50&lt;&gt;"Y"),"No chapter (forfeit?)",IF(AND(D50&lt;&gt;"",I50="Y"),"Forfeit has a chapter",IF(OR(F50="",H50=""),"Missing score",IF(F50=H50,"Tie score",IF(COUNTIFS($A$2:$A$801,A50,$E$2:$E$801,E50)+COUNTIFS($A$2:$A$801,A50,$G$2:$G$801,E50)&gt;1,"Team 1 listed twice this week",IF(COUNTIFS($A$2:$A$801,A50,$E$2:$E$801,G50)+COUNTIFS($A$2:$A$801,A50,$G$2:$G$801,G50)&gt;1,"Team 2 listed twice this week",""))))))))</f>
        <v/>
      </c>
    </row>
    <row r="51">
      <c r="A51" s="11" t="n"/>
      <c r="B51" s="9">
        <f>IF(A51="","",IFERROR(INDEX(Lists!$G$2:$G$7,MATCH(A51,Lists!$F$2:$F$7,0)),"?"))</f>
        <v/>
      </c>
      <c r="C51" s="4" t="n"/>
      <c r="D51" s="4" t="n"/>
      <c r="E51" s="4" t="n"/>
      <c r="F51" s="11" t="n"/>
      <c r="G51" s="4" t="n"/>
      <c r="H51" s="11" t="n"/>
      <c r="I51" s="11" t="n"/>
      <c r="J51" s="9">
        <f>IF(OR(F51="",H51=""),"",IF(F51&gt;H51,E51,IF(H51&gt;F51,G51,"")))</f>
        <v/>
      </c>
      <c r="K51" s="4" t="n"/>
      <c r="L51" s="9">
        <f>IF(COUNTA(A51,C51,D51,E51,F51,G51,H51,I51)=0,"",IF(OR(A51="",C51="",E51="",G51=""),"Missing week/class/team",IF(AND(D51="",I51&lt;&gt;"Y"),"No chapter (forfeit?)",IF(AND(D51&lt;&gt;"",I51="Y"),"Forfeit has a chapter",IF(OR(F51="",H51=""),"Missing score",IF(F51=H51,"Tie score",IF(COUNTIFS($A$2:$A$801,A51,$E$2:$E$801,E51)+COUNTIFS($A$2:$A$801,A51,$G$2:$G$801,E51)&gt;1,"Team 1 listed twice this week",IF(COUNTIFS($A$2:$A$801,A51,$E$2:$E$801,G51)+COUNTIFS($A$2:$A$801,A51,$G$2:$G$801,G51)&gt;1,"Team 2 listed twice this week",""))))))))</f>
        <v/>
      </c>
    </row>
    <row r="52">
      <c r="A52" s="11" t="n"/>
      <c r="B52" s="9">
        <f>IF(A52="","",IFERROR(INDEX(Lists!$G$2:$G$7,MATCH(A52,Lists!$F$2:$F$7,0)),"?"))</f>
        <v/>
      </c>
      <c r="C52" s="4" t="n"/>
      <c r="D52" s="4" t="n"/>
      <c r="E52" s="4" t="n"/>
      <c r="F52" s="11" t="n"/>
      <c r="G52" s="4" t="n"/>
      <c r="H52" s="11" t="n"/>
      <c r="I52" s="11" t="n"/>
      <c r="J52" s="9">
        <f>IF(OR(F52="",H52=""),"",IF(F52&gt;H52,E52,IF(H52&gt;F52,G52,"")))</f>
        <v/>
      </c>
      <c r="K52" s="4" t="n"/>
      <c r="L52" s="9">
        <f>IF(COUNTA(A52,C52,D52,E52,F52,G52,H52,I52)=0,"",IF(OR(A52="",C52="",E52="",G52=""),"Missing week/class/team",IF(AND(D52="",I52&lt;&gt;"Y"),"No chapter (forfeit?)",IF(AND(D52&lt;&gt;"",I52="Y"),"Forfeit has a chapter",IF(OR(F52="",H52=""),"Missing score",IF(F52=H52,"Tie score",IF(COUNTIFS($A$2:$A$801,A52,$E$2:$E$801,E52)+COUNTIFS($A$2:$A$801,A52,$G$2:$G$801,E52)&gt;1,"Team 1 listed twice this week",IF(COUNTIFS($A$2:$A$801,A52,$E$2:$E$801,G52)+COUNTIFS($A$2:$A$801,A52,$G$2:$G$801,G52)&gt;1,"Team 2 listed twice this week",""))))))))</f>
        <v/>
      </c>
    </row>
    <row r="53">
      <c r="A53" s="11" t="n"/>
      <c r="B53" s="9">
        <f>IF(A53="","",IFERROR(INDEX(Lists!$G$2:$G$7,MATCH(A53,Lists!$F$2:$F$7,0)),"?"))</f>
        <v/>
      </c>
      <c r="C53" s="4" t="n"/>
      <c r="D53" s="4" t="n"/>
      <c r="E53" s="4" t="n"/>
      <c r="F53" s="11" t="n"/>
      <c r="G53" s="4" t="n"/>
      <c r="H53" s="11" t="n"/>
      <c r="I53" s="11" t="n"/>
      <c r="J53" s="9">
        <f>IF(OR(F53="",H53=""),"",IF(F53&gt;H53,E53,IF(H53&gt;F53,G53,"")))</f>
        <v/>
      </c>
      <c r="K53" s="4" t="n"/>
      <c r="L53" s="9">
        <f>IF(COUNTA(A53,C53,D53,E53,F53,G53,H53,I53)=0,"",IF(OR(A53="",C53="",E53="",G53=""),"Missing week/class/team",IF(AND(D53="",I53&lt;&gt;"Y"),"No chapter (forfeit?)",IF(AND(D53&lt;&gt;"",I53="Y"),"Forfeit has a chapter",IF(OR(F53="",H53=""),"Missing score",IF(F53=H53,"Tie score",IF(COUNTIFS($A$2:$A$801,A53,$E$2:$E$801,E53)+COUNTIFS($A$2:$A$801,A53,$G$2:$G$801,E53)&gt;1,"Team 1 listed twice this week",IF(COUNTIFS($A$2:$A$801,A53,$E$2:$E$801,G53)+COUNTIFS($A$2:$A$801,A53,$G$2:$G$801,G53)&gt;1,"Team 2 listed twice this week",""))))))))</f>
        <v/>
      </c>
    </row>
    <row r="54">
      <c r="A54" s="11" t="n"/>
      <c r="B54" s="9">
        <f>IF(A54="","",IFERROR(INDEX(Lists!$G$2:$G$7,MATCH(A54,Lists!$F$2:$F$7,0)),"?"))</f>
        <v/>
      </c>
      <c r="C54" s="4" t="n"/>
      <c r="D54" s="4" t="n"/>
      <c r="E54" s="4" t="n"/>
      <c r="F54" s="11" t="n"/>
      <c r="G54" s="4" t="n"/>
      <c r="H54" s="11" t="n"/>
      <c r="I54" s="11" t="n"/>
      <c r="J54" s="9">
        <f>IF(OR(F54="",H54=""),"",IF(F54&gt;H54,E54,IF(H54&gt;F54,G54,"")))</f>
        <v/>
      </c>
      <c r="K54" s="4" t="n"/>
      <c r="L54" s="9">
        <f>IF(COUNTA(A54,C54,D54,E54,F54,G54,H54,I54)=0,"",IF(OR(A54="",C54="",E54="",G54=""),"Missing week/class/team",IF(AND(D54="",I54&lt;&gt;"Y"),"No chapter (forfeit?)",IF(AND(D54&lt;&gt;"",I54="Y"),"Forfeit has a chapter",IF(OR(F54="",H54=""),"Missing score",IF(F54=H54,"Tie score",IF(COUNTIFS($A$2:$A$801,A54,$E$2:$E$801,E54)+COUNTIFS($A$2:$A$801,A54,$G$2:$G$801,E54)&gt;1,"Team 1 listed twice this week",IF(COUNTIFS($A$2:$A$801,A54,$E$2:$E$801,G54)+COUNTIFS($A$2:$A$801,A54,$G$2:$G$801,G54)&gt;1,"Team 2 listed twice this week",""))))))))</f>
        <v/>
      </c>
    </row>
    <row r="55">
      <c r="A55" s="11" t="n"/>
      <c r="B55" s="9">
        <f>IF(A55="","",IFERROR(INDEX(Lists!$G$2:$G$7,MATCH(A55,Lists!$F$2:$F$7,0)),"?"))</f>
        <v/>
      </c>
      <c r="C55" s="4" t="n"/>
      <c r="D55" s="4" t="n"/>
      <c r="E55" s="4" t="n"/>
      <c r="F55" s="11" t="n"/>
      <c r="G55" s="4" t="n"/>
      <c r="H55" s="11" t="n"/>
      <c r="I55" s="11" t="n"/>
      <c r="J55" s="9">
        <f>IF(OR(F55="",H55=""),"",IF(F55&gt;H55,E55,IF(H55&gt;F55,G55,"")))</f>
        <v/>
      </c>
      <c r="K55" s="4" t="n"/>
      <c r="L55" s="9">
        <f>IF(COUNTA(A55,C55,D55,E55,F55,G55,H55,I55)=0,"",IF(OR(A55="",C55="",E55="",G55=""),"Missing week/class/team",IF(AND(D55="",I55&lt;&gt;"Y"),"No chapter (forfeit?)",IF(AND(D55&lt;&gt;"",I55="Y"),"Forfeit has a chapter",IF(OR(F55="",H55=""),"Missing score",IF(F55=H55,"Tie score",IF(COUNTIFS($A$2:$A$801,A55,$E$2:$E$801,E55)+COUNTIFS($A$2:$A$801,A55,$G$2:$G$801,E55)&gt;1,"Team 1 listed twice this week",IF(COUNTIFS($A$2:$A$801,A55,$E$2:$E$801,G55)+COUNTIFS($A$2:$A$801,A55,$G$2:$G$801,G55)&gt;1,"Team 2 listed twice this week",""))))))))</f>
        <v/>
      </c>
    </row>
    <row r="56">
      <c r="A56" s="11" t="n"/>
      <c r="B56" s="9">
        <f>IF(A56="","",IFERROR(INDEX(Lists!$G$2:$G$7,MATCH(A56,Lists!$F$2:$F$7,0)),"?"))</f>
        <v/>
      </c>
      <c r="C56" s="4" t="n"/>
      <c r="D56" s="4" t="n"/>
      <c r="E56" s="4" t="n"/>
      <c r="F56" s="11" t="n"/>
      <c r="G56" s="4" t="n"/>
      <c r="H56" s="11" t="n"/>
      <c r="I56" s="11" t="n"/>
      <c r="J56" s="9">
        <f>IF(OR(F56="",H56=""),"",IF(F56&gt;H56,E56,IF(H56&gt;F56,G56,"")))</f>
        <v/>
      </c>
      <c r="K56" s="4" t="n"/>
      <c r="L56" s="9">
        <f>IF(COUNTA(A56,C56,D56,E56,F56,G56,H56,I56)=0,"",IF(OR(A56="",C56="",E56="",G56=""),"Missing week/class/team",IF(AND(D56="",I56&lt;&gt;"Y"),"No chapter (forfeit?)",IF(AND(D56&lt;&gt;"",I56="Y"),"Forfeit has a chapter",IF(OR(F56="",H56=""),"Missing score",IF(F56=H56,"Tie score",IF(COUNTIFS($A$2:$A$801,A56,$E$2:$E$801,E56)+COUNTIFS($A$2:$A$801,A56,$G$2:$G$801,E56)&gt;1,"Team 1 listed twice this week",IF(COUNTIFS($A$2:$A$801,A56,$E$2:$E$801,G56)+COUNTIFS($A$2:$A$801,A56,$G$2:$G$801,G56)&gt;1,"Team 2 listed twice this week",""))))))))</f>
        <v/>
      </c>
    </row>
    <row r="57">
      <c r="A57" s="11" t="n"/>
      <c r="B57" s="9">
        <f>IF(A57="","",IFERROR(INDEX(Lists!$G$2:$G$7,MATCH(A57,Lists!$F$2:$F$7,0)),"?"))</f>
        <v/>
      </c>
      <c r="C57" s="4" t="n"/>
      <c r="D57" s="4" t="n"/>
      <c r="E57" s="4" t="n"/>
      <c r="F57" s="11" t="n"/>
      <c r="G57" s="4" t="n"/>
      <c r="H57" s="11" t="n"/>
      <c r="I57" s="11" t="n"/>
      <c r="J57" s="9">
        <f>IF(OR(F57="",H57=""),"",IF(F57&gt;H57,E57,IF(H57&gt;F57,G57,"")))</f>
        <v/>
      </c>
      <c r="K57" s="4" t="n"/>
      <c r="L57" s="9">
        <f>IF(COUNTA(A57,C57,D57,E57,F57,G57,H57,I57)=0,"",IF(OR(A57="",C57="",E57="",G57=""),"Missing week/class/team",IF(AND(D57="",I57&lt;&gt;"Y"),"No chapter (forfeit?)",IF(AND(D57&lt;&gt;"",I57="Y"),"Forfeit has a chapter",IF(OR(F57="",H57=""),"Missing score",IF(F57=H57,"Tie score",IF(COUNTIFS($A$2:$A$801,A57,$E$2:$E$801,E57)+COUNTIFS($A$2:$A$801,A57,$G$2:$G$801,E57)&gt;1,"Team 1 listed twice this week",IF(COUNTIFS($A$2:$A$801,A57,$E$2:$E$801,G57)+COUNTIFS($A$2:$A$801,A57,$G$2:$G$801,G57)&gt;1,"Team 2 listed twice this week",""))))))))</f>
        <v/>
      </c>
    </row>
    <row r="58">
      <c r="A58" s="11" t="n"/>
      <c r="B58" s="9">
        <f>IF(A58="","",IFERROR(INDEX(Lists!$G$2:$G$7,MATCH(A58,Lists!$F$2:$F$7,0)),"?"))</f>
        <v/>
      </c>
      <c r="C58" s="4" t="n"/>
      <c r="D58" s="4" t="n"/>
      <c r="E58" s="4" t="n"/>
      <c r="F58" s="11" t="n"/>
      <c r="G58" s="4" t="n"/>
      <c r="H58" s="11" t="n"/>
      <c r="I58" s="11" t="n"/>
      <c r="J58" s="9">
        <f>IF(OR(F58="",H58=""),"",IF(F58&gt;H58,E58,IF(H58&gt;F58,G58,"")))</f>
        <v/>
      </c>
      <c r="K58" s="4" t="n"/>
      <c r="L58" s="9">
        <f>IF(COUNTA(A58,C58,D58,E58,F58,G58,H58,I58)=0,"",IF(OR(A58="",C58="",E58="",G58=""),"Missing week/class/team",IF(AND(D58="",I58&lt;&gt;"Y"),"No chapter (forfeit?)",IF(AND(D58&lt;&gt;"",I58="Y"),"Forfeit has a chapter",IF(OR(F58="",H58=""),"Missing score",IF(F58=H58,"Tie score",IF(COUNTIFS($A$2:$A$801,A58,$E$2:$E$801,E58)+COUNTIFS($A$2:$A$801,A58,$G$2:$G$801,E58)&gt;1,"Team 1 listed twice this week",IF(COUNTIFS($A$2:$A$801,A58,$E$2:$E$801,G58)+COUNTIFS($A$2:$A$801,A58,$G$2:$G$801,G58)&gt;1,"Team 2 listed twice this week",""))))))))</f>
        <v/>
      </c>
    </row>
    <row r="59">
      <c r="A59" s="11" t="n"/>
      <c r="B59" s="9">
        <f>IF(A59="","",IFERROR(INDEX(Lists!$G$2:$G$7,MATCH(A59,Lists!$F$2:$F$7,0)),"?"))</f>
        <v/>
      </c>
      <c r="C59" s="4" t="n"/>
      <c r="D59" s="4" t="n"/>
      <c r="E59" s="4" t="n"/>
      <c r="F59" s="11" t="n"/>
      <c r="G59" s="4" t="n"/>
      <c r="H59" s="11" t="n"/>
      <c r="I59" s="11" t="n"/>
      <c r="J59" s="9">
        <f>IF(OR(F59="",H59=""),"",IF(F59&gt;H59,E59,IF(H59&gt;F59,G59,"")))</f>
        <v/>
      </c>
      <c r="K59" s="4" t="n"/>
      <c r="L59" s="9">
        <f>IF(COUNTA(A59,C59,D59,E59,F59,G59,H59,I59)=0,"",IF(OR(A59="",C59="",E59="",G59=""),"Missing week/class/team",IF(AND(D59="",I59&lt;&gt;"Y"),"No chapter (forfeit?)",IF(AND(D59&lt;&gt;"",I59="Y"),"Forfeit has a chapter",IF(OR(F59="",H59=""),"Missing score",IF(F59=H59,"Tie score",IF(COUNTIFS($A$2:$A$801,A59,$E$2:$E$801,E59)+COUNTIFS($A$2:$A$801,A59,$G$2:$G$801,E59)&gt;1,"Team 1 listed twice this week",IF(COUNTIFS($A$2:$A$801,A59,$E$2:$E$801,G59)+COUNTIFS($A$2:$A$801,A59,$G$2:$G$801,G59)&gt;1,"Team 2 listed twice this week",""))))))))</f>
        <v/>
      </c>
    </row>
    <row r="60">
      <c r="A60" s="11" t="n"/>
      <c r="B60" s="9">
        <f>IF(A60="","",IFERROR(INDEX(Lists!$G$2:$G$7,MATCH(A60,Lists!$F$2:$F$7,0)),"?"))</f>
        <v/>
      </c>
      <c r="C60" s="4" t="n"/>
      <c r="D60" s="4" t="n"/>
      <c r="E60" s="4" t="n"/>
      <c r="F60" s="11" t="n"/>
      <c r="G60" s="4" t="n"/>
      <c r="H60" s="11" t="n"/>
      <c r="I60" s="11" t="n"/>
      <c r="J60" s="9">
        <f>IF(OR(F60="",H60=""),"",IF(F60&gt;H60,E60,IF(H60&gt;F60,G60,"")))</f>
        <v/>
      </c>
      <c r="K60" s="4" t="n"/>
      <c r="L60" s="9">
        <f>IF(COUNTA(A60,C60,D60,E60,F60,G60,H60,I60)=0,"",IF(OR(A60="",C60="",E60="",G60=""),"Missing week/class/team",IF(AND(D60="",I60&lt;&gt;"Y"),"No chapter (forfeit?)",IF(AND(D60&lt;&gt;"",I60="Y"),"Forfeit has a chapter",IF(OR(F60="",H60=""),"Missing score",IF(F60=H60,"Tie score",IF(COUNTIFS($A$2:$A$801,A60,$E$2:$E$801,E60)+COUNTIFS($A$2:$A$801,A60,$G$2:$G$801,E60)&gt;1,"Team 1 listed twice this week",IF(COUNTIFS($A$2:$A$801,A60,$E$2:$E$801,G60)+COUNTIFS($A$2:$A$801,A60,$G$2:$G$801,G60)&gt;1,"Team 2 listed twice this week",""))))))))</f>
        <v/>
      </c>
    </row>
    <row r="61">
      <c r="A61" s="11" t="n"/>
      <c r="B61" s="9">
        <f>IF(A61="","",IFERROR(INDEX(Lists!$G$2:$G$7,MATCH(A61,Lists!$F$2:$F$7,0)),"?"))</f>
        <v/>
      </c>
      <c r="C61" s="4" t="n"/>
      <c r="D61" s="4" t="n"/>
      <c r="E61" s="4" t="n"/>
      <c r="F61" s="11" t="n"/>
      <c r="G61" s="4" t="n"/>
      <c r="H61" s="11" t="n"/>
      <c r="I61" s="11" t="n"/>
      <c r="J61" s="9">
        <f>IF(OR(F61="",H61=""),"",IF(F61&gt;H61,E61,IF(H61&gt;F61,G61,"")))</f>
        <v/>
      </c>
      <c r="K61" s="4" t="n"/>
      <c r="L61" s="9">
        <f>IF(COUNTA(A61,C61,D61,E61,F61,G61,H61,I61)=0,"",IF(OR(A61="",C61="",E61="",G61=""),"Missing week/class/team",IF(AND(D61="",I61&lt;&gt;"Y"),"No chapter (forfeit?)",IF(AND(D61&lt;&gt;"",I61="Y"),"Forfeit has a chapter",IF(OR(F61="",H61=""),"Missing score",IF(F61=H61,"Tie score",IF(COUNTIFS($A$2:$A$801,A61,$E$2:$E$801,E61)+COUNTIFS($A$2:$A$801,A61,$G$2:$G$801,E61)&gt;1,"Team 1 listed twice this week",IF(COUNTIFS($A$2:$A$801,A61,$E$2:$E$801,G61)+COUNTIFS($A$2:$A$801,A61,$G$2:$G$801,G61)&gt;1,"Team 2 listed twice this week",""))))))))</f>
        <v/>
      </c>
    </row>
    <row r="62">
      <c r="A62" s="11" t="n"/>
      <c r="B62" s="9">
        <f>IF(A62="","",IFERROR(INDEX(Lists!$G$2:$G$7,MATCH(A62,Lists!$F$2:$F$7,0)),"?"))</f>
        <v/>
      </c>
      <c r="C62" s="4" t="n"/>
      <c r="D62" s="4" t="n"/>
      <c r="E62" s="4" t="n"/>
      <c r="F62" s="11" t="n"/>
      <c r="G62" s="4" t="n"/>
      <c r="H62" s="11" t="n"/>
      <c r="I62" s="11" t="n"/>
      <c r="J62" s="9">
        <f>IF(OR(F62="",H62=""),"",IF(F62&gt;H62,E62,IF(H62&gt;F62,G62,"")))</f>
        <v/>
      </c>
      <c r="K62" s="4" t="n"/>
      <c r="L62" s="9">
        <f>IF(COUNTA(A62,C62,D62,E62,F62,G62,H62,I62)=0,"",IF(OR(A62="",C62="",E62="",G62=""),"Missing week/class/team",IF(AND(D62="",I62&lt;&gt;"Y"),"No chapter (forfeit?)",IF(AND(D62&lt;&gt;"",I62="Y"),"Forfeit has a chapter",IF(OR(F62="",H62=""),"Missing score",IF(F62=H62,"Tie score",IF(COUNTIFS($A$2:$A$801,A62,$E$2:$E$801,E62)+COUNTIFS($A$2:$A$801,A62,$G$2:$G$801,E62)&gt;1,"Team 1 listed twice this week",IF(COUNTIFS($A$2:$A$801,A62,$E$2:$E$801,G62)+COUNTIFS($A$2:$A$801,A62,$G$2:$G$801,G62)&gt;1,"Team 2 listed twice this week",""))))))))</f>
        <v/>
      </c>
    </row>
    <row r="63">
      <c r="A63" s="11" t="n"/>
      <c r="B63" s="9">
        <f>IF(A63="","",IFERROR(INDEX(Lists!$G$2:$G$7,MATCH(A63,Lists!$F$2:$F$7,0)),"?"))</f>
        <v/>
      </c>
      <c r="C63" s="4" t="n"/>
      <c r="D63" s="4" t="n"/>
      <c r="E63" s="4" t="n"/>
      <c r="F63" s="11" t="n"/>
      <c r="G63" s="4" t="n"/>
      <c r="H63" s="11" t="n"/>
      <c r="I63" s="11" t="n"/>
      <c r="J63" s="9">
        <f>IF(OR(F63="",H63=""),"",IF(F63&gt;H63,E63,IF(H63&gt;F63,G63,"")))</f>
        <v/>
      </c>
      <c r="K63" s="4" t="n"/>
      <c r="L63" s="9">
        <f>IF(COUNTA(A63,C63,D63,E63,F63,G63,H63,I63)=0,"",IF(OR(A63="",C63="",E63="",G63=""),"Missing week/class/team",IF(AND(D63="",I63&lt;&gt;"Y"),"No chapter (forfeit?)",IF(AND(D63&lt;&gt;"",I63="Y"),"Forfeit has a chapter",IF(OR(F63="",H63=""),"Missing score",IF(F63=H63,"Tie score",IF(COUNTIFS($A$2:$A$801,A63,$E$2:$E$801,E63)+COUNTIFS($A$2:$A$801,A63,$G$2:$G$801,E63)&gt;1,"Team 1 listed twice this week",IF(COUNTIFS($A$2:$A$801,A63,$E$2:$E$801,G63)+COUNTIFS($A$2:$A$801,A63,$G$2:$G$801,G63)&gt;1,"Team 2 listed twice this week",""))))))))</f>
        <v/>
      </c>
    </row>
    <row r="64">
      <c r="A64" s="11" t="n"/>
      <c r="B64" s="9">
        <f>IF(A64="","",IFERROR(INDEX(Lists!$G$2:$G$7,MATCH(A64,Lists!$F$2:$F$7,0)),"?"))</f>
        <v/>
      </c>
      <c r="C64" s="4" t="n"/>
      <c r="D64" s="4" t="n"/>
      <c r="E64" s="4" t="n"/>
      <c r="F64" s="11" t="n"/>
      <c r="G64" s="4" t="n"/>
      <c r="H64" s="11" t="n"/>
      <c r="I64" s="11" t="n"/>
      <c r="J64" s="9">
        <f>IF(OR(F64="",H64=""),"",IF(F64&gt;H64,E64,IF(H64&gt;F64,G64,"")))</f>
        <v/>
      </c>
      <c r="K64" s="4" t="n"/>
      <c r="L64" s="9">
        <f>IF(COUNTA(A64,C64,D64,E64,F64,G64,H64,I64)=0,"",IF(OR(A64="",C64="",E64="",G64=""),"Missing week/class/team",IF(AND(D64="",I64&lt;&gt;"Y"),"No chapter (forfeit?)",IF(AND(D64&lt;&gt;"",I64="Y"),"Forfeit has a chapter",IF(OR(F64="",H64=""),"Missing score",IF(F64=H64,"Tie score",IF(COUNTIFS($A$2:$A$801,A64,$E$2:$E$801,E64)+COUNTIFS($A$2:$A$801,A64,$G$2:$G$801,E64)&gt;1,"Team 1 listed twice this week",IF(COUNTIFS($A$2:$A$801,A64,$E$2:$E$801,G64)+COUNTIFS($A$2:$A$801,A64,$G$2:$G$801,G64)&gt;1,"Team 2 listed twice this week",""))))))))</f>
        <v/>
      </c>
    </row>
    <row r="65">
      <c r="A65" s="11" t="n"/>
      <c r="B65" s="9">
        <f>IF(A65="","",IFERROR(INDEX(Lists!$G$2:$G$7,MATCH(A65,Lists!$F$2:$F$7,0)),"?"))</f>
        <v/>
      </c>
      <c r="C65" s="4" t="n"/>
      <c r="D65" s="4" t="n"/>
      <c r="E65" s="4" t="n"/>
      <c r="F65" s="11" t="n"/>
      <c r="G65" s="4" t="n"/>
      <c r="H65" s="11" t="n"/>
      <c r="I65" s="11" t="n"/>
      <c r="J65" s="9">
        <f>IF(OR(F65="",H65=""),"",IF(F65&gt;H65,E65,IF(H65&gt;F65,G65,"")))</f>
        <v/>
      </c>
      <c r="K65" s="4" t="n"/>
      <c r="L65" s="9">
        <f>IF(COUNTA(A65,C65,D65,E65,F65,G65,H65,I65)=0,"",IF(OR(A65="",C65="",E65="",G65=""),"Missing week/class/team",IF(AND(D65="",I65&lt;&gt;"Y"),"No chapter (forfeit?)",IF(AND(D65&lt;&gt;"",I65="Y"),"Forfeit has a chapter",IF(OR(F65="",H65=""),"Missing score",IF(F65=H65,"Tie score",IF(COUNTIFS($A$2:$A$801,A65,$E$2:$E$801,E65)+COUNTIFS($A$2:$A$801,A65,$G$2:$G$801,E65)&gt;1,"Team 1 listed twice this week",IF(COUNTIFS($A$2:$A$801,A65,$E$2:$E$801,G65)+COUNTIFS($A$2:$A$801,A65,$G$2:$G$801,G65)&gt;1,"Team 2 listed twice this week",""))))))))</f>
        <v/>
      </c>
    </row>
    <row r="66">
      <c r="A66" s="11" t="n"/>
      <c r="B66" s="9">
        <f>IF(A66="","",IFERROR(INDEX(Lists!$G$2:$G$7,MATCH(A66,Lists!$F$2:$F$7,0)),"?"))</f>
        <v/>
      </c>
      <c r="C66" s="4" t="n"/>
      <c r="D66" s="4" t="n"/>
      <c r="E66" s="4" t="n"/>
      <c r="F66" s="11" t="n"/>
      <c r="G66" s="4" t="n"/>
      <c r="H66" s="11" t="n"/>
      <c r="I66" s="11" t="n"/>
      <c r="J66" s="9">
        <f>IF(OR(F66="",H66=""),"",IF(F66&gt;H66,E66,IF(H66&gt;F66,G66,"")))</f>
        <v/>
      </c>
      <c r="K66" s="4" t="n"/>
      <c r="L66" s="9">
        <f>IF(COUNTA(A66,C66,D66,E66,F66,G66,H66,I66)=0,"",IF(OR(A66="",C66="",E66="",G66=""),"Missing week/class/team",IF(AND(D66="",I66&lt;&gt;"Y"),"No chapter (forfeit?)",IF(AND(D66&lt;&gt;"",I66="Y"),"Forfeit has a chapter",IF(OR(F66="",H66=""),"Missing score",IF(F66=H66,"Tie score",IF(COUNTIFS($A$2:$A$801,A66,$E$2:$E$801,E66)+COUNTIFS($A$2:$A$801,A66,$G$2:$G$801,E66)&gt;1,"Team 1 listed twice this week",IF(COUNTIFS($A$2:$A$801,A66,$E$2:$E$801,G66)+COUNTIFS($A$2:$A$801,A66,$G$2:$G$801,G66)&gt;1,"Team 2 listed twice this week",""))))))))</f>
        <v/>
      </c>
    </row>
    <row r="67">
      <c r="A67" s="11" t="n"/>
      <c r="B67" s="9">
        <f>IF(A67="","",IFERROR(INDEX(Lists!$G$2:$G$7,MATCH(A67,Lists!$F$2:$F$7,0)),"?"))</f>
        <v/>
      </c>
      <c r="C67" s="4" t="n"/>
      <c r="D67" s="4" t="n"/>
      <c r="E67" s="4" t="n"/>
      <c r="F67" s="11" t="n"/>
      <c r="G67" s="4" t="n"/>
      <c r="H67" s="11" t="n"/>
      <c r="I67" s="11" t="n"/>
      <c r="J67" s="9">
        <f>IF(OR(F67="",H67=""),"",IF(F67&gt;H67,E67,IF(H67&gt;F67,G67,"")))</f>
        <v/>
      </c>
      <c r="K67" s="4" t="n"/>
      <c r="L67" s="9">
        <f>IF(COUNTA(A67,C67,D67,E67,F67,G67,H67,I67)=0,"",IF(OR(A67="",C67="",E67="",G67=""),"Missing week/class/team",IF(AND(D67="",I67&lt;&gt;"Y"),"No chapter (forfeit?)",IF(AND(D67&lt;&gt;"",I67="Y"),"Forfeit has a chapter",IF(OR(F67="",H67=""),"Missing score",IF(F67=H67,"Tie score",IF(COUNTIFS($A$2:$A$801,A67,$E$2:$E$801,E67)+COUNTIFS($A$2:$A$801,A67,$G$2:$G$801,E67)&gt;1,"Team 1 listed twice this week",IF(COUNTIFS($A$2:$A$801,A67,$E$2:$E$801,G67)+COUNTIFS($A$2:$A$801,A67,$G$2:$G$801,G67)&gt;1,"Team 2 listed twice this week",""))))))))</f>
        <v/>
      </c>
    </row>
    <row r="68">
      <c r="A68" s="11" t="n"/>
      <c r="B68" s="9">
        <f>IF(A68="","",IFERROR(INDEX(Lists!$G$2:$G$7,MATCH(A68,Lists!$F$2:$F$7,0)),"?"))</f>
        <v/>
      </c>
      <c r="C68" s="4" t="n"/>
      <c r="D68" s="4" t="n"/>
      <c r="E68" s="4" t="n"/>
      <c r="F68" s="11" t="n"/>
      <c r="G68" s="4" t="n"/>
      <c r="H68" s="11" t="n"/>
      <c r="I68" s="11" t="n"/>
      <c r="J68" s="9">
        <f>IF(OR(F68="",H68=""),"",IF(F68&gt;H68,E68,IF(H68&gt;F68,G68,"")))</f>
        <v/>
      </c>
      <c r="K68" s="4" t="n"/>
      <c r="L68" s="9">
        <f>IF(COUNTA(A68,C68,D68,E68,F68,G68,H68,I68)=0,"",IF(OR(A68="",C68="",E68="",G68=""),"Missing week/class/team",IF(AND(D68="",I68&lt;&gt;"Y"),"No chapter (forfeit?)",IF(AND(D68&lt;&gt;"",I68="Y"),"Forfeit has a chapter",IF(OR(F68="",H68=""),"Missing score",IF(F68=H68,"Tie score",IF(COUNTIFS($A$2:$A$801,A68,$E$2:$E$801,E68)+COUNTIFS($A$2:$A$801,A68,$G$2:$G$801,E68)&gt;1,"Team 1 listed twice this week",IF(COUNTIFS($A$2:$A$801,A68,$E$2:$E$801,G68)+COUNTIFS($A$2:$A$801,A68,$G$2:$G$801,G68)&gt;1,"Team 2 listed twice this week",""))))))))</f>
        <v/>
      </c>
    </row>
    <row r="69">
      <c r="A69" s="11" t="n"/>
      <c r="B69" s="9">
        <f>IF(A69="","",IFERROR(INDEX(Lists!$G$2:$G$7,MATCH(A69,Lists!$F$2:$F$7,0)),"?"))</f>
        <v/>
      </c>
      <c r="C69" s="4" t="n"/>
      <c r="D69" s="4" t="n"/>
      <c r="E69" s="4" t="n"/>
      <c r="F69" s="11" t="n"/>
      <c r="G69" s="4" t="n"/>
      <c r="H69" s="11" t="n"/>
      <c r="I69" s="11" t="n"/>
      <c r="J69" s="9">
        <f>IF(OR(F69="",H69=""),"",IF(F69&gt;H69,E69,IF(H69&gt;F69,G69,"")))</f>
        <v/>
      </c>
      <c r="K69" s="4" t="n"/>
      <c r="L69" s="9">
        <f>IF(COUNTA(A69,C69,D69,E69,F69,G69,H69,I69)=0,"",IF(OR(A69="",C69="",E69="",G69=""),"Missing week/class/team",IF(AND(D69="",I69&lt;&gt;"Y"),"No chapter (forfeit?)",IF(AND(D69&lt;&gt;"",I69="Y"),"Forfeit has a chapter",IF(OR(F69="",H69=""),"Missing score",IF(F69=H69,"Tie score",IF(COUNTIFS($A$2:$A$801,A69,$E$2:$E$801,E69)+COUNTIFS($A$2:$A$801,A69,$G$2:$G$801,E69)&gt;1,"Team 1 listed twice this week",IF(COUNTIFS($A$2:$A$801,A69,$E$2:$E$801,G69)+COUNTIFS($A$2:$A$801,A69,$G$2:$G$801,G69)&gt;1,"Team 2 listed twice this week",""))))))))</f>
        <v/>
      </c>
    </row>
    <row r="70">
      <c r="A70" s="11" t="n"/>
      <c r="B70" s="9">
        <f>IF(A70="","",IFERROR(INDEX(Lists!$G$2:$G$7,MATCH(A70,Lists!$F$2:$F$7,0)),"?"))</f>
        <v/>
      </c>
      <c r="C70" s="4" t="n"/>
      <c r="D70" s="4" t="n"/>
      <c r="E70" s="4" t="n"/>
      <c r="F70" s="11" t="n"/>
      <c r="G70" s="4" t="n"/>
      <c r="H70" s="11" t="n"/>
      <c r="I70" s="11" t="n"/>
      <c r="J70" s="9">
        <f>IF(OR(F70="",H70=""),"",IF(F70&gt;H70,E70,IF(H70&gt;F70,G70,"")))</f>
        <v/>
      </c>
      <c r="K70" s="4" t="n"/>
      <c r="L70" s="9">
        <f>IF(COUNTA(A70,C70,D70,E70,F70,G70,H70,I70)=0,"",IF(OR(A70="",C70="",E70="",G70=""),"Missing week/class/team",IF(AND(D70="",I70&lt;&gt;"Y"),"No chapter (forfeit?)",IF(AND(D70&lt;&gt;"",I70="Y"),"Forfeit has a chapter",IF(OR(F70="",H70=""),"Missing score",IF(F70=H70,"Tie score",IF(COUNTIFS($A$2:$A$801,A70,$E$2:$E$801,E70)+COUNTIFS($A$2:$A$801,A70,$G$2:$G$801,E70)&gt;1,"Team 1 listed twice this week",IF(COUNTIFS($A$2:$A$801,A70,$E$2:$E$801,G70)+COUNTIFS($A$2:$A$801,A70,$G$2:$G$801,G70)&gt;1,"Team 2 listed twice this week",""))))))))</f>
        <v/>
      </c>
    </row>
    <row r="71">
      <c r="A71" s="11" t="n"/>
      <c r="B71" s="9">
        <f>IF(A71="","",IFERROR(INDEX(Lists!$G$2:$G$7,MATCH(A71,Lists!$F$2:$F$7,0)),"?"))</f>
        <v/>
      </c>
      <c r="C71" s="4" t="n"/>
      <c r="D71" s="4" t="n"/>
      <c r="E71" s="4" t="n"/>
      <c r="F71" s="11" t="n"/>
      <c r="G71" s="4" t="n"/>
      <c r="H71" s="11" t="n"/>
      <c r="I71" s="11" t="n"/>
      <c r="J71" s="9">
        <f>IF(OR(F71="",H71=""),"",IF(F71&gt;H71,E71,IF(H71&gt;F71,G71,"")))</f>
        <v/>
      </c>
      <c r="K71" s="4" t="n"/>
      <c r="L71" s="9">
        <f>IF(COUNTA(A71,C71,D71,E71,F71,G71,H71,I71)=0,"",IF(OR(A71="",C71="",E71="",G71=""),"Missing week/class/team",IF(AND(D71="",I71&lt;&gt;"Y"),"No chapter (forfeit?)",IF(AND(D71&lt;&gt;"",I71="Y"),"Forfeit has a chapter",IF(OR(F71="",H71=""),"Missing score",IF(F71=H71,"Tie score",IF(COUNTIFS($A$2:$A$801,A71,$E$2:$E$801,E71)+COUNTIFS($A$2:$A$801,A71,$G$2:$G$801,E71)&gt;1,"Team 1 listed twice this week",IF(COUNTIFS($A$2:$A$801,A71,$E$2:$E$801,G71)+COUNTIFS($A$2:$A$801,A71,$G$2:$G$801,G71)&gt;1,"Team 2 listed twice this week",""))))))))</f>
        <v/>
      </c>
    </row>
    <row r="72">
      <c r="A72" s="11" t="n"/>
      <c r="B72" s="9">
        <f>IF(A72="","",IFERROR(INDEX(Lists!$G$2:$G$7,MATCH(A72,Lists!$F$2:$F$7,0)),"?"))</f>
        <v/>
      </c>
      <c r="C72" s="4" t="n"/>
      <c r="D72" s="4" t="n"/>
      <c r="E72" s="4" t="n"/>
      <c r="F72" s="11" t="n"/>
      <c r="G72" s="4" t="n"/>
      <c r="H72" s="11" t="n"/>
      <c r="I72" s="11" t="n"/>
      <c r="J72" s="9">
        <f>IF(OR(F72="",H72=""),"",IF(F72&gt;H72,E72,IF(H72&gt;F72,G72,"")))</f>
        <v/>
      </c>
      <c r="K72" s="4" t="n"/>
      <c r="L72" s="9">
        <f>IF(COUNTA(A72,C72,D72,E72,F72,G72,H72,I72)=0,"",IF(OR(A72="",C72="",E72="",G72=""),"Missing week/class/team",IF(AND(D72="",I72&lt;&gt;"Y"),"No chapter (forfeit?)",IF(AND(D72&lt;&gt;"",I72="Y"),"Forfeit has a chapter",IF(OR(F72="",H72=""),"Missing score",IF(F72=H72,"Tie score",IF(COUNTIFS($A$2:$A$801,A72,$E$2:$E$801,E72)+COUNTIFS($A$2:$A$801,A72,$G$2:$G$801,E72)&gt;1,"Team 1 listed twice this week",IF(COUNTIFS($A$2:$A$801,A72,$E$2:$E$801,G72)+COUNTIFS($A$2:$A$801,A72,$G$2:$G$801,G72)&gt;1,"Team 2 listed twice this week",""))))))))</f>
        <v/>
      </c>
    </row>
    <row r="73">
      <c r="A73" s="11" t="n"/>
      <c r="B73" s="9">
        <f>IF(A73="","",IFERROR(INDEX(Lists!$G$2:$G$7,MATCH(A73,Lists!$F$2:$F$7,0)),"?"))</f>
        <v/>
      </c>
      <c r="C73" s="4" t="n"/>
      <c r="D73" s="4" t="n"/>
      <c r="E73" s="4" t="n"/>
      <c r="F73" s="11" t="n"/>
      <c r="G73" s="4" t="n"/>
      <c r="H73" s="11" t="n"/>
      <c r="I73" s="11" t="n"/>
      <c r="J73" s="9">
        <f>IF(OR(F73="",H73=""),"",IF(F73&gt;H73,E73,IF(H73&gt;F73,G73,"")))</f>
        <v/>
      </c>
      <c r="K73" s="4" t="n"/>
      <c r="L73" s="9">
        <f>IF(COUNTA(A73,C73,D73,E73,F73,G73,H73,I73)=0,"",IF(OR(A73="",C73="",E73="",G73=""),"Missing week/class/team",IF(AND(D73="",I73&lt;&gt;"Y"),"No chapter (forfeit?)",IF(AND(D73&lt;&gt;"",I73="Y"),"Forfeit has a chapter",IF(OR(F73="",H73=""),"Missing score",IF(F73=H73,"Tie score",IF(COUNTIFS($A$2:$A$801,A73,$E$2:$E$801,E73)+COUNTIFS($A$2:$A$801,A73,$G$2:$G$801,E73)&gt;1,"Team 1 listed twice this week",IF(COUNTIFS($A$2:$A$801,A73,$E$2:$E$801,G73)+COUNTIFS($A$2:$A$801,A73,$G$2:$G$801,G73)&gt;1,"Team 2 listed twice this week",""))))))))</f>
        <v/>
      </c>
    </row>
    <row r="74">
      <c r="A74" s="11" t="n"/>
      <c r="B74" s="9">
        <f>IF(A74="","",IFERROR(INDEX(Lists!$G$2:$G$7,MATCH(A74,Lists!$F$2:$F$7,0)),"?"))</f>
        <v/>
      </c>
      <c r="C74" s="4" t="n"/>
      <c r="D74" s="4" t="n"/>
      <c r="E74" s="4" t="n"/>
      <c r="F74" s="11" t="n"/>
      <c r="G74" s="4" t="n"/>
      <c r="H74" s="11" t="n"/>
      <c r="I74" s="11" t="n"/>
      <c r="J74" s="9">
        <f>IF(OR(F74="",H74=""),"",IF(F74&gt;H74,E74,IF(H74&gt;F74,G74,"")))</f>
        <v/>
      </c>
      <c r="K74" s="4" t="n"/>
      <c r="L74" s="9">
        <f>IF(COUNTA(A74,C74,D74,E74,F74,G74,H74,I74)=0,"",IF(OR(A74="",C74="",E74="",G74=""),"Missing week/class/team",IF(AND(D74="",I74&lt;&gt;"Y"),"No chapter (forfeit?)",IF(AND(D74&lt;&gt;"",I74="Y"),"Forfeit has a chapter",IF(OR(F74="",H74=""),"Missing score",IF(F74=H74,"Tie score",IF(COUNTIFS($A$2:$A$801,A74,$E$2:$E$801,E74)+COUNTIFS($A$2:$A$801,A74,$G$2:$G$801,E74)&gt;1,"Team 1 listed twice this week",IF(COUNTIFS($A$2:$A$801,A74,$E$2:$E$801,G74)+COUNTIFS($A$2:$A$801,A74,$G$2:$G$801,G74)&gt;1,"Team 2 listed twice this week",""))))))))</f>
        <v/>
      </c>
    </row>
    <row r="75">
      <c r="A75" s="11" t="n"/>
      <c r="B75" s="9">
        <f>IF(A75="","",IFERROR(INDEX(Lists!$G$2:$G$7,MATCH(A75,Lists!$F$2:$F$7,0)),"?"))</f>
        <v/>
      </c>
      <c r="C75" s="4" t="n"/>
      <c r="D75" s="4" t="n"/>
      <c r="E75" s="4" t="n"/>
      <c r="F75" s="11" t="n"/>
      <c r="G75" s="4" t="n"/>
      <c r="H75" s="11" t="n"/>
      <c r="I75" s="11" t="n"/>
      <c r="J75" s="9">
        <f>IF(OR(F75="",H75=""),"",IF(F75&gt;H75,E75,IF(H75&gt;F75,G75,"")))</f>
        <v/>
      </c>
      <c r="K75" s="4" t="n"/>
      <c r="L75" s="9">
        <f>IF(COUNTA(A75,C75,D75,E75,F75,G75,H75,I75)=0,"",IF(OR(A75="",C75="",E75="",G75=""),"Missing week/class/team",IF(AND(D75="",I75&lt;&gt;"Y"),"No chapter (forfeit?)",IF(AND(D75&lt;&gt;"",I75="Y"),"Forfeit has a chapter",IF(OR(F75="",H75=""),"Missing score",IF(F75=H75,"Tie score",IF(COUNTIFS($A$2:$A$801,A75,$E$2:$E$801,E75)+COUNTIFS($A$2:$A$801,A75,$G$2:$G$801,E75)&gt;1,"Team 1 listed twice this week",IF(COUNTIFS($A$2:$A$801,A75,$E$2:$E$801,G75)+COUNTIFS($A$2:$A$801,A75,$G$2:$G$801,G75)&gt;1,"Team 2 listed twice this week",""))))))))</f>
        <v/>
      </c>
    </row>
    <row r="76">
      <c r="A76" s="11" t="n"/>
      <c r="B76" s="9">
        <f>IF(A76="","",IFERROR(INDEX(Lists!$G$2:$G$7,MATCH(A76,Lists!$F$2:$F$7,0)),"?"))</f>
        <v/>
      </c>
      <c r="C76" s="4" t="n"/>
      <c r="D76" s="4" t="n"/>
      <c r="E76" s="4" t="n"/>
      <c r="F76" s="11" t="n"/>
      <c r="G76" s="4" t="n"/>
      <c r="H76" s="11" t="n"/>
      <c r="I76" s="11" t="n"/>
      <c r="J76" s="9">
        <f>IF(OR(F76="",H76=""),"",IF(F76&gt;H76,E76,IF(H76&gt;F76,G76,"")))</f>
        <v/>
      </c>
      <c r="K76" s="4" t="n"/>
      <c r="L76" s="9">
        <f>IF(COUNTA(A76,C76,D76,E76,F76,G76,H76,I76)=0,"",IF(OR(A76="",C76="",E76="",G76=""),"Missing week/class/team",IF(AND(D76="",I76&lt;&gt;"Y"),"No chapter (forfeit?)",IF(AND(D76&lt;&gt;"",I76="Y"),"Forfeit has a chapter",IF(OR(F76="",H76=""),"Missing score",IF(F76=H76,"Tie score",IF(COUNTIFS($A$2:$A$801,A76,$E$2:$E$801,E76)+COUNTIFS($A$2:$A$801,A76,$G$2:$G$801,E76)&gt;1,"Team 1 listed twice this week",IF(COUNTIFS($A$2:$A$801,A76,$E$2:$E$801,G76)+COUNTIFS($A$2:$A$801,A76,$G$2:$G$801,G76)&gt;1,"Team 2 listed twice this week",""))))))))</f>
        <v/>
      </c>
    </row>
    <row r="77">
      <c r="A77" s="11" t="n"/>
      <c r="B77" s="9">
        <f>IF(A77="","",IFERROR(INDEX(Lists!$G$2:$G$7,MATCH(A77,Lists!$F$2:$F$7,0)),"?"))</f>
        <v/>
      </c>
      <c r="C77" s="4" t="n"/>
      <c r="D77" s="4" t="n"/>
      <c r="E77" s="4" t="n"/>
      <c r="F77" s="11" t="n"/>
      <c r="G77" s="4" t="n"/>
      <c r="H77" s="11" t="n"/>
      <c r="I77" s="11" t="n"/>
      <c r="J77" s="9">
        <f>IF(OR(F77="",H77=""),"",IF(F77&gt;H77,E77,IF(H77&gt;F77,G77,"")))</f>
        <v/>
      </c>
      <c r="K77" s="4" t="n"/>
      <c r="L77" s="9">
        <f>IF(COUNTA(A77,C77,D77,E77,F77,G77,H77,I77)=0,"",IF(OR(A77="",C77="",E77="",G77=""),"Missing week/class/team",IF(AND(D77="",I77&lt;&gt;"Y"),"No chapter (forfeit?)",IF(AND(D77&lt;&gt;"",I77="Y"),"Forfeit has a chapter",IF(OR(F77="",H77=""),"Missing score",IF(F77=H77,"Tie score",IF(COUNTIFS($A$2:$A$801,A77,$E$2:$E$801,E77)+COUNTIFS($A$2:$A$801,A77,$G$2:$G$801,E77)&gt;1,"Team 1 listed twice this week",IF(COUNTIFS($A$2:$A$801,A77,$E$2:$E$801,G77)+COUNTIFS($A$2:$A$801,A77,$G$2:$G$801,G77)&gt;1,"Team 2 listed twice this week",""))))))))</f>
        <v/>
      </c>
    </row>
    <row r="78">
      <c r="A78" s="11" t="n"/>
      <c r="B78" s="9">
        <f>IF(A78="","",IFERROR(INDEX(Lists!$G$2:$G$7,MATCH(A78,Lists!$F$2:$F$7,0)),"?"))</f>
        <v/>
      </c>
      <c r="C78" s="4" t="n"/>
      <c r="D78" s="4" t="n"/>
      <c r="E78" s="4" t="n"/>
      <c r="F78" s="11" t="n"/>
      <c r="G78" s="4" t="n"/>
      <c r="H78" s="11" t="n"/>
      <c r="I78" s="11" t="n"/>
      <c r="J78" s="9">
        <f>IF(OR(F78="",H78=""),"",IF(F78&gt;H78,E78,IF(H78&gt;F78,G78,"")))</f>
        <v/>
      </c>
      <c r="K78" s="4" t="n"/>
      <c r="L78" s="9">
        <f>IF(COUNTA(A78,C78,D78,E78,F78,G78,H78,I78)=0,"",IF(OR(A78="",C78="",E78="",G78=""),"Missing week/class/team",IF(AND(D78="",I78&lt;&gt;"Y"),"No chapter (forfeit?)",IF(AND(D78&lt;&gt;"",I78="Y"),"Forfeit has a chapter",IF(OR(F78="",H78=""),"Missing score",IF(F78=H78,"Tie score",IF(COUNTIFS($A$2:$A$801,A78,$E$2:$E$801,E78)+COUNTIFS($A$2:$A$801,A78,$G$2:$G$801,E78)&gt;1,"Team 1 listed twice this week",IF(COUNTIFS($A$2:$A$801,A78,$E$2:$E$801,G78)+COUNTIFS($A$2:$A$801,A78,$G$2:$G$801,G78)&gt;1,"Team 2 listed twice this week",""))))))))</f>
        <v/>
      </c>
    </row>
    <row r="79">
      <c r="A79" s="11" t="n"/>
      <c r="B79" s="9">
        <f>IF(A79="","",IFERROR(INDEX(Lists!$G$2:$G$7,MATCH(A79,Lists!$F$2:$F$7,0)),"?"))</f>
        <v/>
      </c>
      <c r="C79" s="4" t="n"/>
      <c r="D79" s="4" t="n"/>
      <c r="E79" s="4" t="n"/>
      <c r="F79" s="11" t="n"/>
      <c r="G79" s="4" t="n"/>
      <c r="H79" s="11" t="n"/>
      <c r="I79" s="11" t="n"/>
      <c r="J79" s="9">
        <f>IF(OR(F79="",H79=""),"",IF(F79&gt;H79,E79,IF(H79&gt;F79,G79,"")))</f>
        <v/>
      </c>
      <c r="K79" s="4" t="n"/>
      <c r="L79" s="9">
        <f>IF(COUNTA(A79,C79,D79,E79,F79,G79,H79,I79)=0,"",IF(OR(A79="",C79="",E79="",G79=""),"Missing week/class/team",IF(AND(D79="",I79&lt;&gt;"Y"),"No chapter (forfeit?)",IF(AND(D79&lt;&gt;"",I79="Y"),"Forfeit has a chapter",IF(OR(F79="",H79=""),"Missing score",IF(F79=H79,"Tie score",IF(COUNTIFS($A$2:$A$801,A79,$E$2:$E$801,E79)+COUNTIFS($A$2:$A$801,A79,$G$2:$G$801,E79)&gt;1,"Team 1 listed twice this week",IF(COUNTIFS($A$2:$A$801,A79,$E$2:$E$801,G79)+COUNTIFS($A$2:$A$801,A79,$G$2:$G$801,G79)&gt;1,"Team 2 listed twice this week",""))))))))</f>
        <v/>
      </c>
    </row>
    <row r="80">
      <c r="A80" s="11" t="n"/>
      <c r="B80" s="9">
        <f>IF(A80="","",IFERROR(INDEX(Lists!$G$2:$G$7,MATCH(A80,Lists!$F$2:$F$7,0)),"?"))</f>
        <v/>
      </c>
      <c r="C80" s="4" t="n"/>
      <c r="D80" s="4" t="n"/>
      <c r="E80" s="4" t="n"/>
      <c r="F80" s="11" t="n"/>
      <c r="G80" s="4" t="n"/>
      <c r="H80" s="11" t="n"/>
      <c r="I80" s="11" t="n"/>
      <c r="J80" s="9">
        <f>IF(OR(F80="",H80=""),"",IF(F80&gt;H80,E80,IF(H80&gt;F80,G80,"")))</f>
        <v/>
      </c>
      <c r="K80" s="4" t="n"/>
      <c r="L80" s="9">
        <f>IF(COUNTA(A80,C80,D80,E80,F80,G80,H80,I80)=0,"",IF(OR(A80="",C80="",E80="",G80=""),"Missing week/class/team",IF(AND(D80="",I80&lt;&gt;"Y"),"No chapter (forfeit?)",IF(AND(D80&lt;&gt;"",I80="Y"),"Forfeit has a chapter",IF(OR(F80="",H80=""),"Missing score",IF(F80=H80,"Tie score",IF(COUNTIFS($A$2:$A$801,A80,$E$2:$E$801,E80)+COUNTIFS($A$2:$A$801,A80,$G$2:$G$801,E80)&gt;1,"Team 1 listed twice this week",IF(COUNTIFS($A$2:$A$801,A80,$E$2:$E$801,G80)+COUNTIFS($A$2:$A$801,A80,$G$2:$G$801,G80)&gt;1,"Team 2 listed twice this week",""))))))))</f>
        <v/>
      </c>
    </row>
    <row r="81">
      <c r="A81" s="11" t="n"/>
      <c r="B81" s="9">
        <f>IF(A81="","",IFERROR(INDEX(Lists!$G$2:$G$7,MATCH(A81,Lists!$F$2:$F$7,0)),"?"))</f>
        <v/>
      </c>
      <c r="C81" s="4" t="n"/>
      <c r="D81" s="4" t="n"/>
      <c r="E81" s="4" t="n"/>
      <c r="F81" s="11" t="n"/>
      <c r="G81" s="4" t="n"/>
      <c r="H81" s="11" t="n"/>
      <c r="I81" s="11" t="n"/>
      <c r="J81" s="9">
        <f>IF(OR(F81="",H81=""),"",IF(F81&gt;H81,E81,IF(H81&gt;F81,G81,"")))</f>
        <v/>
      </c>
      <c r="K81" s="4" t="n"/>
      <c r="L81" s="9">
        <f>IF(COUNTA(A81,C81,D81,E81,F81,G81,H81,I81)=0,"",IF(OR(A81="",C81="",E81="",G81=""),"Missing week/class/team",IF(AND(D81="",I81&lt;&gt;"Y"),"No chapter (forfeit?)",IF(AND(D81&lt;&gt;"",I81="Y"),"Forfeit has a chapter",IF(OR(F81="",H81=""),"Missing score",IF(F81=H81,"Tie score",IF(COUNTIFS($A$2:$A$801,A81,$E$2:$E$801,E81)+COUNTIFS($A$2:$A$801,A81,$G$2:$G$801,E81)&gt;1,"Team 1 listed twice this week",IF(COUNTIFS($A$2:$A$801,A81,$E$2:$E$801,G81)+COUNTIFS($A$2:$A$801,A81,$G$2:$G$801,G81)&gt;1,"Team 2 listed twice this week",""))))))))</f>
        <v/>
      </c>
    </row>
    <row r="82">
      <c r="A82" s="11" t="n"/>
      <c r="B82" s="9">
        <f>IF(A82="","",IFERROR(INDEX(Lists!$G$2:$G$7,MATCH(A82,Lists!$F$2:$F$7,0)),"?"))</f>
        <v/>
      </c>
      <c r="C82" s="4" t="n"/>
      <c r="D82" s="4" t="n"/>
      <c r="E82" s="4" t="n"/>
      <c r="F82" s="11" t="n"/>
      <c r="G82" s="4" t="n"/>
      <c r="H82" s="11" t="n"/>
      <c r="I82" s="11" t="n"/>
      <c r="J82" s="9">
        <f>IF(OR(F82="",H82=""),"",IF(F82&gt;H82,E82,IF(H82&gt;F82,G82,"")))</f>
        <v/>
      </c>
      <c r="K82" s="4" t="n"/>
      <c r="L82" s="9">
        <f>IF(COUNTA(A82,C82,D82,E82,F82,G82,H82,I82)=0,"",IF(OR(A82="",C82="",E82="",G82=""),"Missing week/class/team",IF(AND(D82="",I82&lt;&gt;"Y"),"No chapter (forfeit?)",IF(AND(D82&lt;&gt;"",I82="Y"),"Forfeit has a chapter",IF(OR(F82="",H82=""),"Missing score",IF(F82=H82,"Tie score",IF(COUNTIFS($A$2:$A$801,A82,$E$2:$E$801,E82)+COUNTIFS($A$2:$A$801,A82,$G$2:$G$801,E82)&gt;1,"Team 1 listed twice this week",IF(COUNTIFS($A$2:$A$801,A82,$E$2:$E$801,G82)+COUNTIFS($A$2:$A$801,A82,$G$2:$G$801,G82)&gt;1,"Team 2 listed twice this week",""))))))))</f>
        <v/>
      </c>
    </row>
    <row r="83">
      <c r="A83" s="11" t="n"/>
      <c r="B83" s="9">
        <f>IF(A83="","",IFERROR(INDEX(Lists!$G$2:$G$7,MATCH(A83,Lists!$F$2:$F$7,0)),"?"))</f>
        <v/>
      </c>
      <c r="C83" s="4" t="n"/>
      <c r="D83" s="4" t="n"/>
      <c r="E83" s="4" t="n"/>
      <c r="F83" s="11" t="n"/>
      <c r="G83" s="4" t="n"/>
      <c r="H83" s="11" t="n"/>
      <c r="I83" s="11" t="n"/>
      <c r="J83" s="9">
        <f>IF(OR(F83="",H83=""),"",IF(F83&gt;H83,E83,IF(H83&gt;F83,G83,"")))</f>
        <v/>
      </c>
      <c r="K83" s="4" t="n"/>
      <c r="L83" s="9">
        <f>IF(COUNTA(A83,C83,D83,E83,F83,G83,H83,I83)=0,"",IF(OR(A83="",C83="",E83="",G83=""),"Missing week/class/team",IF(AND(D83="",I83&lt;&gt;"Y"),"No chapter (forfeit?)",IF(AND(D83&lt;&gt;"",I83="Y"),"Forfeit has a chapter",IF(OR(F83="",H83=""),"Missing score",IF(F83=H83,"Tie score",IF(COUNTIFS($A$2:$A$801,A83,$E$2:$E$801,E83)+COUNTIFS($A$2:$A$801,A83,$G$2:$G$801,E83)&gt;1,"Team 1 listed twice this week",IF(COUNTIFS($A$2:$A$801,A83,$E$2:$E$801,G83)+COUNTIFS($A$2:$A$801,A83,$G$2:$G$801,G83)&gt;1,"Team 2 listed twice this week",""))))))))</f>
        <v/>
      </c>
    </row>
    <row r="84">
      <c r="A84" s="11" t="n"/>
      <c r="B84" s="9">
        <f>IF(A84="","",IFERROR(INDEX(Lists!$G$2:$G$7,MATCH(A84,Lists!$F$2:$F$7,0)),"?"))</f>
        <v/>
      </c>
      <c r="C84" s="4" t="n"/>
      <c r="D84" s="4" t="n"/>
      <c r="E84" s="4" t="n"/>
      <c r="F84" s="11" t="n"/>
      <c r="G84" s="4" t="n"/>
      <c r="H84" s="11" t="n"/>
      <c r="I84" s="11" t="n"/>
      <c r="J84" s="9">
        <f>IF(OR(F84="",H84=""),"",IF(F84&gt;H84,E84,IF(H84&gt;F84,G84,"")))</f>
        <v/>
      </c>
      <c r="K84" s="4" t="n"/>
      <c r="L84" s="9">
        <f>IF(COUNTA(A84,C84,D84,E84,F84,G84,H84,I84)=0,"",IF(OR(A84="",C84="",E84="",G84=""),"Missing week/class/team",IF(AND(D84="",I84&lt;&gt;"Y"),"No chapter (forfeit?)",IF(AND(D84&lt;&gt;"",I84="Y"),"Forfeit has a chapter",IF(OR(F84="",H84=""),"Missing score",IF(F84=H84,"Tie score",IF(COUNTIFS($A$2:$A$801,A84,$E$2:$E$801,E84)+COUNTIFS($A$2:$A$801,A84,$G$2:$G$801,E84)&gt;1,"Team 1 listed twice this week",IF(COUNTIFS($A$2:$A$801,A84,$E$2:$E$801,G84)+COUNTIFS($A$2:$A$801,A84,$G$2:$G$801,G84)&gt;1,"Team 2 listed twice this week",""))))))))</f>
        <v/>
      </c>
    </row>
    <row r="85">
      <c r="A85" s="11" t="n"/>
      <c r="B85" s="9">
        <f>IF(A85="","",IFERROR(INDEX(Lists!$G$2:$G$7,MATCH(A85,Lists!$F$2:$F$7,0)),"?"))</f>
        <v/>
      </c>
      <c r="C85" s="4" t="n"/>
      <c r="D85" s="4" t="n"/>
      <c r="E85" s="4" t="n"/>
      <c r="F85" s="11" t="n"/>
      <c r="G85" s="4" t="n"/>
      <c r="H85" s="11" t="n"/>
      <c r="I85" s="11" t="n"/>
      <c r="J85" s="9">
        <f>IF(OR(F85="",H85=""),"",IF(F85&gt;H85,E85,IF(H85&gt;F85,G85,"")))</f>
        <v/>
      </c>
      <c r="K85" s="4" t="n"/>
      <c r="L85" s="9">
        <f>IF(COUNTA(A85,C85,D85,E85,F85,G85,H85,I85)=0,"",IF(OR(A85="",C85="",E85="",G85=""),"Missing week/class/team",IF(AND(D85="",I85&lt;&gt;"Y"),"No chapter (forfeit?)",IF(AND(D85&lt;&gt;"",I85="Y"),"Forfeit has a chapter",IF(OR(F85="",H85=""),"Missing score",IF(F85=H85,"Tie score",IF(COUNTIFS($A$2:$A$801,A85,$E$2:$E$801,E85)+COUNTIFS($A$2:$A$801,A85,$G$2:$G$801,E85)&gt;1,"Team 1 listed twice this week",IF(COUNTIFS($A$2:$A$801,A85,$E$2:$E$801,G85)+COUNTIFS($A$2:$A$801,A85,$G$2:$G$801,G85)&gt;1,"Team 2 listed twice this week",""))))))))</f>
        <v/>
      </c>
    </row>
    <row r="86">
      <c r="A86" s="11" t="n"/>
      <c r="B86" s="9">
        <f>IF(A86="","",IFERROR(INDEX(Lists!$G$2:$G$7,MATCH(A86,Lists!$F$2:$F$7,0)),"?"))</f>
        <v/>
      </c>
      <c r="C86" s="4" t="n"/>
      <c r="D86" s="4" t="n"/>
      <c r="E86" s="4" t="n"/>
      <c r="F86" s="11" t="n"/>
      <c r="G86" s="4" t="n"/>
      <c r="H86" s="11" t="n"/>
      <c r="I86" s="11" t="n"/>
      <c r="J86" s="9">
        <f>IF(OR(F86="",H86=""),"",IF(F86&gt;H86,E86,IF(H86&gt;F86,G86,"")))</f>
        <v/>
      </c>
      <c r="K86" s="4" t="n"/>
      <c r="L86" s="9">
        <f>IF(COUNTA(A86,C86,D86,E86,F86,G86,H86,I86)=0,"",IF(OR(A86="",C86="",E86="",G86=""),"Missing week/class/team",IF(AND(D86="",I86&lt;&gt;"Y"),"No chapter (forfeit?)",IF(AND(D86&lt;&gt;"",I86="Y"),"Forfeit has a chapter",IF(OR(F86="",H86=""),"Missing score",IF(F86=H86,"Tie score",IF(COUNTIFS($A$2:$A$801,A86,$E$2:$E$801,E86)+COUNTIFS($A$2:$A$801,A86,$G$2:$G$801,E86)&gt;1,"Team 1 listed twice this week",IF(COUNTIFS($A$2:$A$801,A86,$E$2:$E$801,G86)+COUNTIFS($A$2:$A$801,A86,$G$2:$G$801,G86)&gt;1,"Team 2 listed twice this week",""))))))))</f>
        <v/>
      </c>
    </row>
    <row r="87">
      <c r="A87" s="11" t="n"/>
      <c r="B87" s="9">
        <f>IF(A87="","",IFERROR(INDEX(Lists!$G$2:$G$7,MATCH(A87,Lists!$F$2:$F$7,0)),"?"))</f>
        <v/>
      </c>
      <c r="C87" s="4" t="n"/>
      <c r="D87" s="4" t="n"/>
      <c r="E87" s="4" t="n"/>
      <c r="F87" s="11" t="n"/>
      <c r="G87" s="4" t="n"/>
      <c r="H87" s="11" t="n"/>
      <c r="I87" s="11" t="n"/>
      <c r="J87" s="9">
        <f>IF(OR(F87="",H87=""),"",IF(F87&gt;H87,E87,IF(H87&gt;F87,G87,"")))</f>
        <v/>
      </c>
      <c r="K87" s="4" t="n"/>
      <c r="L87" s="9">
        <f>IF(COUNTA(A87,C87,D87,E87,F87,G87,H87,I87)=0,"",IF(OR(A87="",C87="",E87="",G87=""),"Missing week/class/team",IF(AND(D87="",I87&lt;&gt;"Y"),"No chapter (forfeit?)",IF(AND(D87&lt;&gt;"",I87="Y"),"Forfeit has a chapter",IF(OR(F87="",H87=""),"Missing score",IF(F87=H87,"Tie score",IF(COUNTIFS($A$2:$A$801,A87,$E$2:$E$801,E87)+COUNTIFS($A$2:$A$801,A87,$G$2:$G$801,E87)&gt;1,"Team 1 listed twice this week",IF(COUNTIFS($A$2:$A$801,A87,$E$2:$E$801,G87)+COUNTIFS($A$2:$A$801,A87,$G$2:$G$801,G87)&gt;1,"Team 2 listed twice this week",""))))))))</f>
        <v/>
      </c>
    </row>
    <row r="88">
      <c r="A88" s="11" t="n"/>
      <c r="B88" s="9">
        <f>IF(A88="","",IFERROR(INDEX(Lists!$G$2:$G$7,MATCH(A88,Lists!$F$2:$F$7,0)),"?"))</f>
        <v/>
      </c>
      <c r="C88" s="4" t="n"/>
      <c r="D88" s="4" t="n"/>
      <c r="E88" s="4" t="n"/>
      <c r="F88" s="11" t="n"/>
      <c r="G88" s="4" t="n"/>
      <c r="H88" s="11" t="n"/>
      <c r="I88" s="11" t="n"/>
      <c r="J88" s="9">
        <f>IF(OR(F88="",H88=""),"",IF(F88&gt;H88,E88,IF(H88&gt;F88,G88,"")))</f>
        <v/>
      </c>
      <c r="K88" s="4" t="n"/>
      <c r="L88" s="9">
        <f>IF(COUNTA(A88,C88,D88,E88,F88,G88,H88,I88)=0,"",IF(OR(A88="",C88="",E88="",G88=""),"Missing week/class/team",IF(AND(D88="",I88&lt;&gt;"Y"),"No chapter (forfeit?)",IF(AND(D88&lt;&gt;"",I88="Y"),"Forfeit has a chapter",IF(OR(F88="",H88=""),"Missing score",IF(F88=H88,"Tie score",IF(COUNTIFS($A$2:$A$801,A88,$E$2:$E$801,E88)+COUNTIFS($A$2:$A$801,A88,$G$2:$G$801,E88)&gt;1,"Team 1 listed twice this week",IF(COUNTIFS($A$2:$A$801,A88,$E$2:$E$801,G88)+COUNTIFS($A$2:$A$801,A88,$G$2:$G$801,G88)&gt;1,"Team 2 listed twice this week",""))))))))</f>
        <v/>
      </c>
    </row>
    <row r="89">
      <c r="A89" s="11" t="n"/>
      <c r="B89" s="9">
        <f>IF(A89="","",IFERROR(INDEX(Lists!$G$2:$G$7,MATCH(A89,Lists!$F$2:$F$7,0)),"?"))</f>
        <v/>
      </c>
      <c r="C89" s="4" t="n"/>
      <c r="D89" s="4" t="n"/>
      <c r="E89" s="4" t="n"/>
      <c r="F89" s="11" t="n"/>
      <c r="G89" s="4" t="n"/>
      <c r="H89" s="11" t="n"/>
      <c r="I89" s="11" t="n"/>
      <c r="J89" s="9">
        <f>IF(OR(F89="",H89=""),"",IF(F89&gt;H89,E89,IF(H89&gt;F89,G89,"")))</f>
        <v/>
      </c>
      <c r="K89" s="4" t="n"/>
      <c r="L89" s="9">
        <f>IF(COUNTA(A89,C89,D89,E89,F89,G89,H89,I89)=0,"",IF(OR(A89="",C89="",E89="",G89=""),"Missing week/class/team",IF(AND(D89="",I89&lt;&gt;"Y"),"No chapter (forfeit?)",IF(AND(D89&lt;&gt;"",I89="Y"),"Forfeit has a chapter",IF(OR(F89="",H89=""),"Missing score",IF(F89=H89,"Tie score",IF(COUNTIFS($A$2:$A$801,A89,$E$2:$E$801,E89)+COUNTIFS($A$2:$A$801,A89,$G$2:$G$801,E89)&gt;1,"Team 1 listed twice this week",IF(COUNTIFS($A$2:$A$801,A89,$E$2:$E$801,G89)+COUNTIFS($A$2:$A$801,A89,$G$2:$G$801,G89)&gt;1,"Team 2 listed twice this week",""))))))))</f>
        <v/>
      </c>
    </row>
    <row r="90">
      <c r="A90" s="11" t="n"/>
      <c r="B90" s="9">
        <f>IF(A90="","",IFERROR(INDEX(Lists!$G$2:$G$7,MATCH(A90,Lists!$F$2:$F$7,0)),"?"))</f>
        <v/>
      </c>
      <c r="C90" s="4" t="n"/>
      <c r="D90" s="4" t="n"/>
      <c r="E90" s="4" t="n"/>
      <c r="F90" s="11" t="n"/>
      <c r="G90" s="4" t="n"/>
      <c r="H90" s="11" t="n"/>
      <c r="I90" s="11" t="n"/>
      <c r="J90" s="9">
        <f>IF(OR(F90="",H90=""),"",IF(F90&gt;H90,E90,IF(H90&gt;F90,G90,"")))</f>
        <v/>
      </c>
      <c r="K90" s="4" t="n"/>
      <c r="L90" s="9">
        <f>IF(COUNTA(A90,C90,D90,E90,F90,G90,H90,I90)=0,"",IF(OR(A90="",C90="",E90="",G90=""),"Missing week/class/team",IF(AND(D90="",I90&lt;&gt;"Y"),"No chapter (forfeit?)",IF(AND(D90&lt;&gt;"",I90="Y"),"Forfeit has a chapter",IF(OR(F90="",H90=""),"Missing score",IF(F90=H90,"Tie score",IF(COUNTIFS($A$2:$A$801,A90,$E$2:$E$801,E90)+COUNTIFS($A$2:$A$801,A90,$G$2:$G$801,E90)&gt;1,"Team 1 listed twice this week",IF(COUNTIFS($A$2:$A$801,A90,$E$2:$E$801,G90)+COUNTIFS($A$2:$A$801,A90,$G$2:$G$801,G90)&gt;1,"Team 2 listed twice this week",""))))))))</f>
        <v/>
      </c>
    </row>
    <row r="91">
      <c r="A91" s="11" t="n"/>
      <c r="B91" s="9">
        <f>IF(A91="","",IFERROR(INDEX(Lists!$G$2:$G$7,MATCH(A91,Lists!$F$2:$F$7,0)),"?"))</f>
        <v/>
      </c>
      <c r="C91" s="4" t="n"/>
      <c r="D91" s="4" t="n"/>
      <c r="E91" s="4" t="n"/>
      <c r="F91" s="11" t="n"/>
      <c r="G91" s="4" t="n"/>
      <c r="H91" s="11" t="n"/>
      <c r="I91" s="11" t="n"/>
      <c r="J91" s="9">
        <f>IF(OR(F91="",H91=""),"",IF(F91&gt;H91,E91,IF(H91&gt;F91,G91,"")))</f>
        <v/>
      </c>
      <c r="K91" s="4" t="n"/>
      <c r="L91" s="9">
        <f>IF(COUNTA(A91,C91,D91,E91,F91,G91,H91,I91)=0,"",IF(OR(A91="",C91="",E91="",G91=""),"Missing week/class/team",IF(AND(D91="",I91&lt;&gt;"Y"),"No chapter (forfeit?)",IF(AND(D91&lt;&gt;"",I91="Y"),"Forfeit has a chapter",IF(OR(F91="",H91=""),"Missing score",IF(F91=H91,"Tie score",IF(COUNTIFS($A$2:$A$801,A91,$E$2:$E$801,E91)+COUNTIFS($A$2:$A$801,A91,$G$2:$G$801,E91)&gt;1,"Team 1 listed twice this week",IF(COUNTIFS($A$2:$A$801,A91,$E$2:$E$801,G91)+COUNTIFS($A$2:$A$801,A91,$G$2:$G$801,G91)&gt;1,"Team 2 listed twice this week",""))))))))</f>
        <v/>
      </c>
    </row>
    <row r="92">
      <c r="A92" s="11" t="n"/>
      <c r="B92" s="9">
        <f>IF(A92="","",IFERROR(INDEX(Lists!$G$2:$G$7,MATCH(A92,Lists!$F$2:$F$7,0)),"?"))</f>
        <v/>
      </c>
      <c r="C92" s="4" t="n"/>
      <c r="D92" s="4" t="n"/>
      <c r="E92" s="4" t="n"/>
      <c r="F92" s="11" t="n"/>
      <c r="G92" s="4" t="n"/>
      <c r="H92" s="11" t="n"/>
      <c r="I92" s="11" t="n"/>
      <c r="J92" s="9">
        <f>IF(OR(F92="",H92=""),"",IF(F92&gt;H92,E92,IF(H92&gt;F92,G92,"")))</f>
        <v/>
      </c>
      <c r="K92" s="4" t="n"/>
      <c r="L92" s="9">
        <f>IF(COUNTA(A92,C92,D92,E92,F92,G92,H92,I92)=0,"",IF(OR(A92="",C92="",E92="",G92=""),"Missing week/class/team",IF(AND(D92="",I92&lt;&gt;"Y"),"No chapter (forfeit?)",IF(AND(D92&lt;&gt;"",I92="Y"),"Forfeit has a chapter",IF(OR(F92="",H92=""),"Missing score",IF(F92=H92,"Tie score",IF(COUNTIFS($A$2:$A$801,A92,$E$2:$E$801,E92)+COUNTIFS($A$2:$A$801,A92,$G$2:$G$801,E92)&gt;1,"Team 1 listed twice this week",IF(COUNTIFS($A$2:$A$801,A92,$E$2:$E$801,G92)+COUNTIFS($A$2:$A$801,A92,$G$2:$G$801,G92)&gt;1,"Team 2 listed twice this week",""))))))))</f>
        <v/>
      </c>
    </row>
    <row r="93">
      <c r="A93" s="11" t="n"/>
      <c r="B93" s="9">
        <f>IF(A93="","",IFERROR(INDEX(Lists!$G$2:$G$7,MATCH(A93,Lists!$F$2:$F$7,0)),"?"))</f>
        <v/>
      </c>
      <c r="C93" s="4" t="n"/>
      <c r="D93" s="4" t="n"/>
      <c r="E93" s="4" t="n"/>
      <c r="F93" s="11" t="n"/>
      <c r="G93" s="4" t="n"/>
      <c r="H93" s="11" t="n"/>
      <c r="I93" s="11" t="n"/>
      <c r="J93" s="9">
        <f>IF(OR(F93="",H93=""),"",IF(F93&gt;H93,E93,IF(H93&gt;F93,G93,"")))</f>
        <v/>
      </c>
      <c r="K93" s="4" t="n"/>
      <c r="L93" s="9">
        <f>IF(COUNTA(A93,C93,D93,E93,F93,G93,H93,I93)=0,"",IF(OR(A93="",C93="",E93="",G93=""),"Missing week/class/team",IF(AND(D93="",I93&lt;&gt;"Y"),"No chapter (forfeit?)",IF(AND(D93&lt;&gt;"",I93="Y"),"Forfeit has a chapter",IF(OR(F93="",H93=""),"Missing score",IF(F93=H93,"Tie score",IF(COUNTIFS($A$2:$A$801,A93,$E$2:$E$801,E93)+COUNTIFS($A$2:$A$801,A93,$G$2:$G$801,E93)&gt;1,"Team 1 listed twice this week",IF(COUNTIFS($A$2:$A$801,A93,$E$2:$E$801,G93)+COUNTIFS($A$2:$A$801,A93,$G$2:$G$801,G93)&gt;1,"Team 2 listed twice this week",""))))))))</f>
        <v/>
      </c>
    </row>
    <row r="94">
      <c r="A94" s="11" t="n"/>
      <c r="B94" s="9">
        <f>IF(A94="","",IFERROR(INDEX(Lists!$G$2:$G$7,MATCH(A94,Lists!$F$2:$F$7,0)),"?"))</f>
        <v/>
      </c>
      <c r="C94" s="4" t="n"/>
      <c r="D94" s="4" t="n"/>
      <c r="E94" s="4" t="n"/>
      <c r="F94" s="11" t="n"/>
      <c r="G94" s="4" t="n"/>
      <c r="H94" s="11" t="n"/>
      <c r="I94" s="11" t="n"/>
      <c r="J94" s="9">
        <f>IF(OR(F94="",H94=""),"",IF(F94&gt;H94,E94,IF(H94&gt;F94,G94,"")))</f>
        <v/>
      </c>
      <c r="K94" s="4" t="n"/>
      <c r="L94" s="9">
        <f>IF(COUNTA(A94,C94,D94,E94,F94,G94,H94,I94)=0,"",IF(OR(A94="",C94="",E94="",G94=""),"Missing week/class/team",IF(AND(D94="",I94&lt;&gt;"Y"),"No chapter (forfeit?)",IF(AND(D94&lt;&gt;"",I94="Y"),"Forfeit has a chapter",IF(OR(F94="",H94=""),"Missing score",IF(F94=H94,"Tie score",IF(COUNTIFS($A$2:$A$801,A94,$E$2:$E$801,E94)+COUNTIFS($A$2:$A$801,A94,$G$2:$G$801,E94)&gt;1,"Team 1 listed twice this week",IF(COUNTIFS($A$2:$A$801,A94,$E$2:$E$801,G94)+COUNTIFS($A$2:$A$801,A94,$G$2:$G$801,G94)&gt;1,"Team 2 listed twice this week",""))))))))</f>
        <v/>
      </c>
    </row>
    <row r="95">
      <c r="A95" s="11" t="n"/>
      <c r="B95" s="9">
        <f>IF(A95="","",IFERROR(INDEX(Lists!$G$2:$G$7,MATCH(A95,Lists!$F$2:$F$7,0)),"?"))</f>
        <v/>
      </c>
      <c r="C95" s="4" t="n"/>
      <c r="D95" s="4" t="n"/>
      <c r="E95" s="4" t="n"/>
      <c r="F95" s="11" t="n"/>
      <c r="G95" s="4" t="n"/>
      <c r="H95" s="11" t="n"/>
      <c r="I95" s="11" t="n"/>
      <c r="J95" s="9">
        <f>IF(OR(F95="",H95=""),"",IF(F95&gt;H95,E95,IF(H95&gt;F95,G95,"")))</f>
        <v/>
      </c>
      <c r="K95" s="4" t="n"/>
      <c r="L95" s="9">
        <f>IF(COUNTA(A95,C95,D95,E95,F95,G95,H95,I95)=0,"",IF(OR(A95="",C95="",E95="",G95=""),"Missing week/class/team",IF(AND(D95="",I95&lt;&gt;"Y"),"No chapter (forfeit?)",IF(AND(D95&lt;&gt;"",I95="Y"),"Forfeit has a chapter",IF(OR(F95="",H95=""),"Missing score",IF(F95=H95,"Tie score",IF(COUNTIFS($A$2:$A$801,A95,$E$2:$E$801,E95)+COUNTIFS($A$2:$A$801,A95,$G$2:$G$801,E95)&gt;1,"Team 1 listed twice this week",IF(COUNTIFS($A$2:$A$801,A95,$E$2:$E$801,G95)+COUNTIFS($A$2:$A$801,A95,$G$2:$G$801,G95)&gt;1,"Team 2 listed twice this week",""))))))))</f>
        <v/>
      </c>
    </row>
    <row r="96">
      <c r="A96" s="11" t="n"/>
      <c r="B96" s="9">
        <f>IF(A96="","",IFERROR(INDEX(Lists!$G$2:$G$7,MATCH(A96,Lists!$F$2:$F$7,0)),"?"))</f>
        <v/>
      </c>
      <c r="C96" s="4" t="n"/>
      <c r="D96" s="4" t="n"/>
      <c r="E96" s="4" t="n"/>
      <c r="F96" s="11" t="n"/>
      <c r="G96" s="4" t="n"/>
      <c r="H96" s="11" t="n"/>
      <c r="I96" s="11" t="n"/>
      <c r="J96" s="9">
        <f>IF(OR(F96="",H96=""),"",IF(F96&gt;H96,E96,IF(H96&gt;F96,G96,"")))</f>
        <v/>
      </c>
      <c r="K96" s="4" t="n"/>
      <c r="L96" s="9">
        <f>IF(COUNTA(A96,C96,D96,E96,F96,G96,H96,I96)=0,"",IF(OR(A96="",C96="",E96="",G96=""),"Missing week/class/team",IF(AND(D96="",I96&lt;&gt;"Y"),"No chapter (forfeit?)",IF(AND(D96&lt;&gt;"",I96="Y"),"Forfeit has a chapter",IF(OR(F96="",H96=""),"Missing score",IF(F96=H96,"Tie score",IF(COUNTIFS($A$2:$A$801,A96,$E$2:$E$801,E96)+COUNTIFS($A$2:$A$801,A96,$G$2:$G$801,E96)&gt;1,"Team 1 listed twice this week",IF(COUNTIFS($A$2:$A$801,A96,$E$2:$E$801,G96)+COUNTIFS($A$2:$A$801,A96,$G$2:$G$801,G96)&gt;1,"Team 2 listed twice this week",""))))))))</f>
        <v/>
      </c>
    </row>
    <row r="97">
      <c r="A97" s="11" t="n"/>
      <c r="B97" s="9">
        <f>IF(A97="","",IFERROR(INDEX(Lists!$G$2:$G$7,MATCH(A97,Lists!$F$2:$F$7,0)),"?"))</f>
        <v/>
      </c>
      <c r="C97" s="4" t="n"/>
      <c r="D97" s="4" t="n"/>
      <c r="E97" s="4" t="n"/>
      <c r="F97" s="11" t="n"/>
      <c r="G97" s="4" t="n"/>
      <c r="H97" s="11" t="n"/>
      <c r="I97" s="11" t="n"/>
      <c r="J97" s="9">
        <f>IF(OR(F97="",H97=""),"",IF(F97&gt;H97,E97,IF(H97&gt;F97,G97,"")))</f>
        <v/>
      </c>
      <c r="K97" s="4" t="n"/>
      <c r="L97" s="9">
        <f>IF(COUNTA(A97,C97,D97,E97,F97,G97,H97,I97)=0,"",IF(OR(A97="",C97="",E97="",G97=""),"Missing week/class/team",IF(AND(D97="",I97&lt;&gt;"Y"),"No chapter (forfeit?)",IF(AND(D97&lt;&gt;"",I97="Y"),"Forfeit has a chapter",IF(OR(F97="",H97=""),"Missing score",IF(F97=H97,"Tie score",IF(COUNTIFS($A$2:$A$801,A97,$E$2:$E$801,E97)+COUNTIFS($A$2:$A$801,A97,$G$2:$G$801,E97)&gt;1,"Team 1 listed twice this week",IF(COUNTIFS($A$2:$A$801,A97,$E$2:$E$801,G97)+COUNTIFS($A$2:$A$801,A97,$G$2:$G$801,G97)&gt;1,"Team 2 listed twice this week",""))))))))</f>
        <v/>
      </c>
    </row>
    <row r="98">
      <c r="A98" s="11" t="n"/>
      <c r="B98" s="9">
        <f>IF(A98="","",IFERROR(INDEX(Lists!$G$2:$G$7,MATCH(A98,Lists!$F$2:$F$7,0)),"?"))</f>
        <v/>
      </c>
      <c r="C98" s="4" t="n"/>
      <c r="D98" s="4" t="n"/>
      <c r="E98" s="4" t="n"/>
      <c r="F98" s="11" t="n"/>
      <c r="G98" s="4" t="n"/>
      <c r="H98" s="11" t="n"/>
      <c r="I98" s="11" t="n"/>
      <c r="J98" s="9">
        <f>IF(OR(F98="",H98=""),"",IF(F98&gt;H98,E98,IF(H98&gt;F98,G98,"")))</f>
        <v/>
      </c>
      <c r="K98" s="4" t="n"/>
      <c r="L98" s="9">
        <f>IF(COUNTA(A98,C98,D98,E98,F98,G98,H98,I98)=0,"",IF(OR(A98="",C98="",E98="",G98=""),"Missing week/class/team",IF(AND(D98="",I98&lt;&gt;"Y"),"No chapter (forfeit?)",IF(AND(D98&lt;&gt;"",I98="Y"),"Forfeit has a chapter",IF(OR(F98="",H98=""),"Missing score",IF(F98=H98,"Tie score",IF(COUNTIFS($A$2:$A$801,A98,$E$2:$E$801,E98)+COUNTIFS($A$2:$A$801,A98,$G$2:$G$801,E98)&gt;1,"Team 1 listed twice this week",IF(COUNTIFS($A$2:$A$801,A98,$E$2:$E$801,G98)+COUNTIFS($A$2:$A$801,A98,$G$2:$G$801,G98)&gt;1,"Team 2 listed twice this week",""))))))))</f>
        <v/>
      </c>
    </row>
    <row r="99">
      <c r="A99" s="11" t="n"/>
      <c r="B99" s="9">
        <f>IF(A99="","",IFERROR(INDEX(Lists!$G$2:$G$7,MATCH(A99,Lists!$F$2:$F$7,0)),"?"))</f>
        <v/>
      </c>
      <c r="C99" s="4" t="n"/>
      <c r="D99" s="4" t="n"/>
      <c r="E99" s="4" t="n"/>
      <c r="F99" s="11" t="n"/>
      <c r="G99" s="4" t="n"/>
      <c r="H99" s="11" t="n"/>
      <c r="I99" s="11" t="n"/>
      <c r="J99" s="9">
        <f>IF(OR(F99="",H99=""),"",IF(F99&gt;H99,E99,IF(H99&gt;F99,G99,"")))</f>
        <v/>
      </c>
      <c r="K99" s="4" t="n"/>
      <c r="L99" s="9">
        <f>IF(COUNTA(A99,C99,D99,E99,F99,G99,H99,I99)=0,"",IF(OR(A99="",C99="",E99="",G99=""),"Missing week/class/team",IF(AND(D99="",I99&lt;&gt;"Y"),"No chapter (forfeit?)",IF(AND(D99&lt;&gt;"",I99="Y"),"Forfeit has a chapter",IF(OR(F99="",H99=""),"Missing score",IF(F99=H99,"Tie score",IF(COUNTIFS($A$2:$A$801,A99,$E$2:$E$801,E99)+COUNTIFS($A$2:$A$801,A99,$G$2:$G$801,E99)&gt;1,"Team 1 listed twice this week",IF(COUNTIFS($A$2:$A$801,A99,$E$2:$E$801,G99)+COUNTIFS($A$2:$A$801,A99,$G$2:$G$801,G99)&gt;1,"Team 2 listed twice this week",""))))))))</f>
        <v/>
      </c>
    </row>
    <row r="100">
      <c r="A100" s="11" t="n"/>
      <c r="B100" s="9">
        <f>IF(A100="","",IFERROR(INDEX(Lists!$G$2:$G$7,MATCH(A100,Lists!$F$2:$F$7,0)),"?"))</f>
        <v/>
      </c>
      <c r="C100" s="4" t="n"/>
      <c r="D100" s="4" t="n"/>
      <c r="E100" s="4" t="n"/>
      <c r="F100" s="11" t="n"/>
      <c r="G100" s="4" t="n"/>
      <c r="H100" s="11" t="n"/>
      <c r="I100" s="11" t="n"/>
      <c r="J100" s="9">
        <f>IF(OR(F100="",H100=""),"",IF(F100&gt;H100,E100,IF(H100&gt;F100,G100,"")))</f>
        <v/>
      </c>
      <c r="K100" s="4" t="n"/>
      <c r="L100" s="9">
        <f>IF(COUNTA(A100,C100,D100,E100,F100,G100,H100,I100)=0,"",IF(OR(A100="",C100="",E100="",G100=""),"Missing week/class/team",IF(AND(D100="",I100&lt;&gt;"Y"),"No chapter (forfeit?)",IF(AND(D100&lt;&gt;"",I100="Y"),"Forfeit has a chapter",IF(OR(F100="",H100=""),"Missing score",IF(F100=H100,"Tie score",IF(COUNTIFS($A$2:$A$801,A100,$E$2:$E$801,E100)+COUNTIFS($A$2:$A$801,A100,$G$2:$G$801,E100)&gt;1,"Team 1 listed twice this week",IF(COUNTIFS($A$2:$A$801,A100,$E$2:$E$801,G100)+COUNTIFS($A$2:$A$801,A100,$G$2:$G$801,G100)&gt;1,"Team 2 listed twice this week",""))))))))</f>
        <v/>
      </c>
    </row>
    <row r="101">
      <c r="A101" s="11" t="n"/>
      <c r="B101" s="9">
        <f>IF(A101="","",IFERROR(INDEX(Lists!$G$2:$G$7,MATCH(A101,Lists!$F$2:$F$7,0)),"?"))</f>
        <v/>
      </c>
      <c r="C101" s="4" t="n"/>
      <c r="D101" s="4" t="n"/>
      <c r="E101" s="4" t="n"/>
      <c r="F101" s="11" t="n"/>
      <c r="G101" s="4" t="n"/>
      <c r="H101" s="11" t="n"/>
      <c r="I101" s="11" t="n"/>
      <c r="J101" s="9">
        <f>IF(OR(F101="",H101=""),"",IF(F101&gt;H101,E101,IF(H101&gt;F101,G101,"")))</f>
        <v/>
      </c>
      <c r="K101" s="4" t="n"/>
      <c r="L101" s="9">
        <f>IF(COUNTA(A101,C101,D101,E101,F101,G101,H101,I101)=0,"",IF(OR(A101="",C101="",E101="",G101=""),"Missing week/class/team",IF(AND(D101="",I101&lt;&gt;"Y"),"No chapter (forfeit?)",IF(AND(D101&lt;&gt;"",I101="Y"),"Forfeit has a chapter",IF(OR(F101="",H101=""),"Missing score",IF(F101=H101,"Tie score",IF(COUNTIFS($A$2:$A$801,A101,$E$2:$E$801,E101)+COUNTIFS($A$2:$A$801,A101,$G$2:$G$801,E101)&gt;1,"Team 1 listed twice this week",IF(COUNTIFS($A$2:$A$801,A101,$E$2:$E$801,G101)+COUNTIFS($A$2:$A$801,A101,$G$2:$G$801,G101)&gt;1,"Team 2 listed twice this week",""))))))))</f>
        <v/>
      </c>
    </row>
    <row r="102">
      <c r="A102" s="11" t="n"/>
      <c r="B102" s="9">
        <f>IF(A102="","",IFERROR(INDEX(Lists!$G$2:$G$7,MATCH(A102,Lists!$F$2:$F$7,0)),"?"))</f>
        <v/>
      </c>
      <c r="C102" s="4" t="n"/>
      <c r="D102" s="4" t="n"/>
      <c r="E102" s="4" t="n"/>
      <c r="F102" s="11" t="n"/>
      <c r="G102" s="4" t="n"/>
      <c r="H102" s="11" t="n"/>
      <c r="I102" s="11" t="n"/>
      <c r="J102" s="9">
        <f>IF(OR(F102="",H102=""),"",IF(F102&gt;H102,E102,IF(H102&gt;F102,G102,"")))</f>
        <v/>
      </c>
      <c r="K102" s="4" t="n"/>
      <c r="L102" s="9">
        <f>IF(COUNTA(A102,C102,D102,E102,F102,G102,H102,I102)=0,"",IF(OR(A102="",C102="",E102="",G102=""),"Missing week/class/team",IF(AND(D102="",I102&lt;&gt;"Y"),"No chapter (forfeit?)",IF(AND(D102&lt;&gt;"",I102="Y"),"Forfeit has a chapter",IF(OR(F102="",H102=""),"Missing score",IF(F102=H102,"Tie score",IF(COUNTIFS($A$2:$A$801,A102,$E$2:$E$801,E102)+COUNTIFS($A$2:$A$801,A102,$G$2:$G$801,E102)&gt;1,"Team 1 listed twice this week",IF(COUNTIFS($A$2:$A$801,A102,$E$2:$E$801,G102)+COUNTIFS($A$2:$A$801,A102,$G$2:$G$801,G102)&gt;1,"Team 2 listed twice this week",""))))))))</f>
        <v/>
      </c>
    </row>
    <row r="103">
      <c r="A103" s="11" t="n"/>
      <c r="B103" s="9">
        <f>IF(A103="","",IFERROR(INDEX(Lists!$G$2:$G$7,MATCH(A103,Lists!$F$2:$F$7,0)),"?"))</f>
        <v/>
      </c>
      <c r="C103" s="4" t="n"/>
      <c r="D103" s="4" t="n"/>
      <c r="E103" s="4" t="n"/>
      <c r="F103" s="11" t="n"/>
      <c r="G103" s="4" t="n"/>
      <c r="H103" s="11" t="n"/>
      <c r="I103" s="11" t="n"/>
      <c r="J103" s="9">
        <f>IF(OR(F103="",H103=""),"",IF(F103&gt;H103,E103,IF(H103&gt;F103,G103,"")))</f>
        <v/>
      </c>
      <c r="K103" s="4" t="n"/>
      <c r="L103" s="9">
        <f>IF(COUNTA(A103,C103,D103,E103,F103,G103,H103,I103)=0,"",IF(OR(A103="",C103="",E103="",G103=""),"Missing week/class/team",IF(AND(D103="",I103&lt;&gt;"Y"),"No chapter (forfeit?)",IF(AND(D103&lt;&gt;"",I103="Y"),"Forfeit has a chapter",IF(OR(F103="",H103=""),"Missing score",IF(F103=H103,"Tie score",IF(COUNTIFS($A$2:$A$801,A103,$E$2:$E$801,E103)+COUNTIFS($A$2:$A$801,A103,$G$2:$G$801,E103)&gt;1,"Team 1 listed twice this week",IF(COUNTIFS($A$2:$A$801,A103,$E$2:$E$801,G103)+COUNTIFS($A$2:$A$801,A103,$G$2:$G$801,G103)&gt;1,"Team 2 listed twice this week",""))))))))</f>
        <v/>
      </c>
    </row>
    <row r="104">
      <c r="A104" s="11" t="n"/>
      <c r="B104" s="9">
        <f>IF(A104="","",IFERROR(INDEX(Lists!$G$2:$G$7,MATCH(A104,Lists!$F$2:$F$7,0)),"?"))</f>
        <v/>
      </c>
      <c r="C104" s="4" t="n"/>
      <c r="D104" s="4" t="n"/>
      <c r="E104" s="4" t="n"/>
      <c r="F104" s="11" t="n"/>
      <c r="G104" s="4" t="n"/>
      <c r="H104" s="11" t="n"/>
      <c r="I104" s="11" t="n"/>
      <c r="J104" s="9">
        <f>IF(OR(F104="",H104=""),"",IF(F104&gt;H104,E104,IF(H104&gt;F104,G104,"")))</f>
        <v/>
      </c>
      <c r="K104" s="4" t="n"/>
      <c r="L104" s="9">
        <f>IF(COUNTA(A104,C104,D104,E104,F104,G104,H104,I104)=0,"",IF(OR(A104="",C104="",E104="",G104=""),"Missing week/class/team",IF(AND(D104="",I104&lt;&gt;"Y"),"No chapter (forfeit?)",IF(AND(D104&lt;&gt;"",I104="Y"),"Forfeit has a chapter",IF(OR(F104="",H104=""),"Missing score",IF(F104=H104,"Tie score",IF(COUNTIFS($A$2:$A$801,A104,$E$2:$E$801,E104)+COUNTIFS($A$2:$A$801,A104,$G$2:$G$801,E104)&gt;1,"Team 1 listed twice this week",IF(COUNTIFS($A$2:$A$801,A104,$E$2:$E$801,G104)+COUNTIFS($A$2:$A$801,A104,$G$2:$G$801,G104)&gt;1,"Team 2 listed twice this week",""))))))))</f>
        <v/>
      </c>
    </row>
    <row r="105">
      <c r="A105" s="11" t="n"/>
      <c r="B105" s="9">
        <f>IF(A105="","",IFERROR(INDEX(Lists!$G$2:$G$7,MATCH(A105,Lists!$F$2:$F$7,0)),"?"))</f>
        <v/>
      </c>
      <c r="C105" s="4" t="n"/>
      <c r="D105" s="4" t="n"/>
      <c r="E105" s="4" t="n"/>
      <c r="F105" s="11" t="n"/>
      <c r="G105" s="4" t="n"/>
      <c r="H105" s="11" t="n"/>
      <c r="I105" s="11" t="n"/>
      <c r="J105" s="9">
        <f>IF(OR(F105="",H105=""),"",IF(F105&gt;H105,E105,IF(H105&gt;F105,G105,"")))</f>
        <v/>
      </c>
      <c r="K105" s="4" t="n"/>
      <c r="L105" s="9">
        <f>IF(COUNTA(A105,C105,D105,E105,F105,G105,H105,I105)=0,"",IF(OR(A105="",C105="",E105="",G105=""),"Missing week/class/team",IF(AND(D105="",I105&lt;&gt;"Y"),"No chapter (forfeit?)",IF(AND(D105&lt;&gt;"",I105="Y"),"Forfeit has a chapter",IF(OR(F105="",H105=""),"Missing score",IF(F105=H105,"Tie score",IF(COUNTIFS($A$2:$A$801,A105,$E$2:$E$801,E105)+COUNTIFS($A$2:$A$801,A105,$G$2:$G$801,E105)&gt;1,"Team 1 listed twice this week",IF(COUNTIFS($A$2:$A$801,A105,$E$2:$E$801,G105)+COUNTIFS($A$2:$A$801,A105,$G$2:$G$801,G105)&gt;1,"Team 2 listed twice this week",""))))))))</f>
        <v/>
      </c>
    </row>
    <row r="106">
      <c r="A106" s="11" t="n"/>
      <c r="B106" s="9">
        <f>IF(A106="","",IFERROR(INDEX(Lists!$G$2:$G$7,MATCH(A106,Lists!$F$2:$F$7,0)),"?"))</f>
        <v/>
      </c>
      <c r="C106" s="4" t="n"/>
      <c r="D106" s="4" t="n"/>
      <c r="E106" s="4" t="n"/>
      <c r="F106" s="11" t="n"/>
      <c r="G106" s="4" t="n"/>
      <c r="H106" s="11" t="n"/>
      <c r="I106" s="11" t="n"/>
      <c r="J106" s="9">
        <f>IF(OR(F106="",H106=""),"",IF(F106&gt;H106,E106,IF(H106&gt;F106,G106,"")))</f>
        <v/>
      </c>
      <c r="K106" s="4" t="n"/>
      <c r="L106" s="9">
        <f>IF(COUNTA(A106,C106,D106,E106,F106,G106,H106,I106)=0,"",IF(OR(A106="",C106="",E106="",G106=""),"Missing week/class/team",IF(AND(D106="",I106&lt;&gt;"Y"),"No chapter (forfeit?)",IF(AND(D106&lt;&gt;"",I106="Y"),"Forfeit has a chapter",IF(OR(F106="",H106=""),"Missing score",IF(F106=H106,"Tie score",IF(COUNTIFS($A$2:$A$801,A106,$E$2:$E$801,E106)+COUNTIFS($A$2:$A$801,A106,$G$2:$G$801,E106)&gt;1,"Team 1 listed twice this week",IF(COUNTIFS($A$2:$A$801,A106,$E$2:$E$801,G106)+COUNTIFS($A$2:$A$801,A106,$G$2:$G$801,G106)&gt;1,"Team 2 listed twice this week",""))))))))</f>
        <v/>
      </c>
    </row>
    <row r="107">
      <c r="A107" s="11" t="n"/>
      <c r="B107" s="9">
        <f>IF(A107="","",IFERROR(INDEX(Lists!$G$2:$G$7,MATCH(A107,Lists!$F$2:$F$7,0)),"?"))</f>
        <v/>
      </c>
      <c r="C107" s="4" t="n"/>
      <c r="D107" s="4" t="n"/>
      <c r="E107" s="4" t="n"/>
      <c r="F107" s="11" t="n"/>
      <c r="G107" s="4" t="n"/>
      <c r="H107" s="11" t="n"/>
      <c r="I107" s="11" t="n"/>
      <c r="J107" s="9">
        <f>IF(OR(F107="",H107=""),"",IF(F107&gt;H107,E107,IF(H107&gt;F107,G107,"")))</f>
        <v/>
      </c>
      <c r="K107" s="4" t="n"/>
      <c r="L107" s="9">
        <f>IF(COUNTA(A107,C107,D107,E107,F107,G107,H107,I107)=0,"",IF(OR(A107="",C107="",E107="",G107=""),"Missing week/class/team",IF(AND(D107="",I107&lt;&gt;"Y"),"No chapter (forfeit?)",IF(AND(D107&lt;&gt;"",I107="Y"),"Forfeit has a chapter",IF(OR(F107="",H107=""),"Missing score",IF(F107=H107,"Tie score",IF(COUNTIFS($A$2:$A$801,A107,$E$2:$E$801,E107)+COUNTIFS($A$2:$A$801,A107,$G$2:$G$801,E107)&gt;1,"Team 1 listed twice this week",IF(COUNTIFS($A$2:$A$801,A107,$E$2:$E$801,G107)+COUNTIFS($A$2:$A$801,A107,$G$2:$G$801,G107)&gt;1,"Team 2 listed twice this week",""))))))))</f>
        <v/>
      </c>
    </row>
    <row r="108">
      <c r="A108" s="11" t="n"/>
      <c r="B108" s="9">
        <f>IF(A108="","",IFERROR(INDEX(Lists!$G$2:$G$7,MATCH(A108,Lists!$F$2:$F$7,0)),"?"))</f>
        <v/>
      </c>
      <c r="C108" s="4" t="n"/>
      <c r="D108" s="4" t="n"/>
      <c r="E108" s="4" t="n"/>
      <c r="F108" s="11" t="n"/>
      <c r="G108" s="4" t="n"/>
      <c r="H108" s="11" t="n"/>
      <c r="I108" s="11" t="n"/>
      <c r="J108" s="9">
        <f>IF(OR(F108="",H108=""),"",IF(F108&gt;H108,E108,IF(H108&gt;F108,G108,"")))</f>
        <v/>
      </c>
      <c r="K108" s="4" t="n"/>
      <c r="L108" s="9">
        <f>IF(COUNTA(A108,C108,D108,E108,F108,G108,H108,I108)=0,"",IF(OR(A108="",C108="",E108="",G108=""),"Missing week/class/team",IF(AND(D108="",I108&lt;&gt;"Y"),"No chapter (forfeit?)",IF(AND(D108&lt;&gt;"",I108="Y"),"Forfeit has a chapter",IF(OR(F108="",H108=""),"Missing score",IF(F108=H108,"Tie score",IF(COUNTIFS($A$2:$A$801,A108,$E$2:$E$801,E108)+COUNTIFS($A$2:$A$801,A108,$G$2:$G$801,E108)&gt;1,"Team 1 listed twice this week",IF(COUNTIFS($A$2:$A$801,A108,$E$2:$E$801,G108)+COUNTIFS($A$2:$A$801,A108,$G$2:$G$801,G108)&gt;1,"Team 2 listed twice this week",""))))))))</f>
        <v/>
      </c>
    </row>
    <row r="109">
      <c r="A109" s="11" t="n"/>
      <c r="B109" s="9">
        <f>IF(A109="","",IFERROR(INDEX(Lists!$G$2:$G$7,MATCH(A109,Lists!$F$2:$F$7,0)),"?"))</f>
        <v/>
      </c>
      <c r="C109" s="4" t="n"/>
      <c r="D109" s="4" t="n"/>
      <c r="E109" s="4" t="n"/>
      <c r="F109" s="11" t="n"/>
      <c r="G109" s="4" t="n"/>
      <c r="H109" s="11" t="n"/>
      <c r="I109" s="11" t="n"/>
      <c r="J109" s="9">
        <f>IF(OR(F109="",H109=""),"",IF(F109&gt;H109,E109,IF(H109&gt;F109,G109,"")))</f>
        <v/>
      </c>
      <c r="K109" s="4" t="n"/>
      <c r="L109" s="9">
        <f>IF(COUNTA(A109,C109,D109,E109,F109,G109,H109,I109)=0,"",IF(OR(A109="",C109="",E109="",G109=""),"Missing week/class/team",IF(AND(D109="",I109&lt;&gt;"Y"),"No chapter (forfeit?)",IF(AND(D109&lt;&gt;"",I109="Y"),"Forfeit has a chapter",IF(OR(F109="",H109=""),"Missing score",IF(F109=H109,"Tie score",IF(COUNTIFS($A$2:$A$801,A109,$E$2:$E$801,E109)+COUNTIFS($A$2:$A$801,A109,$G$2:$G$801,E109)&gt;1,"Team 1 listed twice this week",IF(COUNTIFS($A$2:$A$801,A109,$E$2:$E$801,G109)+COUNTIFS($A$2:$A$801,A109,$G$2:$G$801,G109)&gt;1,"Team 2 listed twice this week",""))))))))</f>
        <v/>
      </c>
    </row>
    <row r="110">
      <c r="A110" s="11" t="n"/>
      <c r="B110" s="9">
        <f>IF(A110="","",IFERROR(INDEX(Lists!$G$2:$G$7,MATCH(A110,Lists!$F$2:$F$7,0)),"?"))</f>
        <v/>
      </c>
      <c r="C110" s="4" t="n"/>
      <c r="D110" s="4" t="n"/>
      <c r="E110" s="4" t="n"/>
      <c r="F110" s="11" t="n"/>
      <c r="G110" s="4" t="n"/>
      <c r="H110" s="11" t="n"/>
      <c r="I110" s="11" t="n"/>
      <c r="J110" s="9">
        <f>IF(OR(F110="",H110=""),"",IF(F110&gt;H110,E110,IF(H110&gt;F110,G110,"")))</f>
        <v/>
      </c>
      <c r="K110" s="4" t="n"/>
      <c r="L110" s="9">
        <f>IF(COUNTA(A110,C110,D110,E110,F110,G110,H110,I110)=0,"",IF(OR(A110="",C110="",E110="",G110=""),"Missing week/class/team",IF(AND(D110="",I110&lt;&gt;"Y"),"No chapter (forfeit?)",IF(AND(D110&lt;&gt;"",I110="Y"),"Forfeit has a chapter",IF(OR(F110="",H110=""),"Missing score",IF(F110=H110,"Tie score",IF(COUNTIFS($A$2:$A$801,A110,$E$2:$E$801,E110)+COUNTIFS($A$2:$A$801,A110,$G$2:$G$801,E110)&gt;1,"Team 1 listed twice this week",IF(COUNTIFS($A$2:$A$801,A110,$E$2:$E$801,G110)+COUNTIFS($A$2:$A$801,A110,$G$2:$G$801,G110)&gt;1,"Team 2 listed twice this week",""))))))))</f>
        <v/>
      </c>
    </row>
    <row r="111">
      <c r="A111" s="11" t="n"/>
      <c r="B111" s="9">
        <f>IF(A111="","",IFERROR(INDEX(Lists!$G$2:$G$7,MATCH(A111,Lists!$F$2:$F$7,0)),"?"))</f>
        <v/>
      </c>
      <c r="C111" s="4" t="n"/>
      <c r="D111" s="4" t="n"/>
      <c r="E111" s="4" t="n"/>
      <c r="F111" s="11" t="n"/>
      <c r="G111" s="4" t="n"/>
      <c r="H111" s="11" t="n"/>
      <c r="I111" s="11" t="n"/>
      <c r="J111" s="9">
        <f>IF(OR(F111="",H111=""),"",IF(F111&gt;H111,E111,IF(H111&gt;F111,G111,"")))</f>
        <v/>
      </c>
      <c r="K111" s="4" t="n"/>
      <c r="L111" s="9">
        <f>IF(COUNTA(A111,C111,D111,E111,F111,G111,H111,I111)=0,"",IF(OR(A111="",C111="",E111="",G111=""),"Missing week/class/team",IF(AND(D111="",I111&lt;&gt;"Y"),"No chapter (forfeit?)",IF(AND(D111&lt;&gt;"",I111="Y"),"Forfeit has a chapter",IF(OR(F111="",H111=""),"Missing score",IF(F111=H111,"Tie score",IF(COUNTIFS($A$2:$A$801,A111,$E$2:$E$801,E111)+COUNTIFS($A$2:$A$801,A111,$G$2:$G$801,E111)&gt;1,"Team 1 listed twice this week",IF(COUNTIFS($A$2:$A$801,A111,$E$2:$E$801,G111)+COUNTIFS($A$2:$A$801,A111,$G$2:$G$801,G111)&gt;1,"Team 2 listed twice this week",""))))))))</f>
        <v/>
      </c>
    </row>
    <row r="112">
      <c r="A112" s="11" t="n"/>
      <c r="B112" s="9">
        <f>IF(A112="","",IFERROR(INDEX(Lists!$G$2:$G$7,MATCH(A112,Lists!$F$2:$F$7,0)),"?"))</f>
        <v/>
      </c>
      <c r="C112" s="4" t="n"/>
      <c r="D112" s="4" t="n"/>
      <c r="E112" s="4" t="n"/>
      <c r="F112" s="11" t="n"/>
      <c r="G112" s="4" t="n"/>
      <c r="H112" s="11" t="n"/>
      <c r="I112" s="11" t="n"/>
      <c r="J112" s="9">
        <f>IF(OR(F112="",H112=""),"",IF(F112&gt;H112,E112,IF(H112&gt;F112,G112,"")))</f>
        <v/>
      </c>
      <c r="K112" s="4" t="n"/>
      <c r="L112" s="9">
        <f>IF(COUNTA(A112,C112,D112,E112,F112,G112,H112,I112)=0,"",IF(OR(A112="",C112="",E112="",G112=""),"Missing week/class/team",IF(AND(D112="",I112&lt;&gt;"Y"),"No chapter (forfeit?)",IF(AND(D112&lt;&gt;"",I112="Y"),"Forfeit has a chapter",IF(OR(F112="",H112=""),"Missing score",IF(F112=H112,"Tie score",IF(COUNTIFS($A$2:$A$801,A112,$E$2:$E$801,E112)+COUNTIFS($A$2:$A$801,A112,$G$2:$G$801,E112)&gt;1,"Team 1 listed twice this week",IF(COUNTIFS($A$2:$A$801,A112,$E$2:$E$801,G112)+COUNTIFS($A$2:$A$801,A112,$G$2:$G$801,G112)&gt;1,"Team 2 listed twice this week",""))))))))</f>
        <v/>
      </c>
    </row>
    <row r="113">
      <c r="A113" s="11" t="n"/>
      <c r="B113" s="9">
        <f>IF(A113="","",IFERROR(INDEX(Lists!$G$2:$G$7,MATCH(A113,Lists!$F$2:$F$7,0)),"?"))</f>
        <v/>
      </c>
      <c r="C113" s="4" t="n"/>
      <c r="D113" s="4" t="n"/>
      <c r="E113" s="4" t="n"/>
      <c r="F113" s="11" t="n"/>
      <c r="G113" s="4" t="n"/>
      <c r="H113" s="11" t="n"/>
      <c r="I113" s="11" t="n"/>
      <c r="J113" s="9">
        <f>IF(OR(F113="",H113=""),"",IF(F113&gt;H113,E113,IF(H113&gt;F113,G113,"")))</f>
        <v/>
      </c>
      <c r="K113" s="4" t="n"/>
      <c r="L113" s="9">
        <f>IF(COUNTA(A113,C113,D113,E113,F113,G113,H113,I113)=0,"",IF(OR(A113="",C113="",E113="",G113=""),"Missing week/class/team",IF(AND(D113="",I113&lt;&gt;"Y"),"No chapter (forfeit?)",IF(AND(D113&lt;&gt;"",I113="Y"),"Forfeit has a chapter",IF(OR(F113="",H113=""),"Missing score",IF(F113=H113,"Tie score",IF(COUNTIFS($A$2:$A$801,A113,$E$2:$E$801,E113)+COUNTIFS($A$2:$A$801,A113,$G$2:$G$801,E113)&gt;1,"Team 1 listed twice this week",IF(COUNTIFS($A$2:$A$801,A113,$E$2:$E$801,G113)+COUNTIFS($A$2:$A$801,A113,$G$2:$G$801,G113)&gt;1,"Team 2 listed twice this week",""))))))))</f>
        <v/>
      </c>
    </row>
    <row r="114">
      <c r="A114" s="11" t="n"/>
      <c r="B114" s="9">
        <f>IF(A114="","",IFERROR(INDEX(Lists!$G$2:$G$7,MATCH(A114,Lists!$F$2:$F$7,0)),"?"))</f>
        <v/>
      </c>
      <c r="C114" s="4" t="n"/>
      <c r="D114" s="4" t="n"/>
      <c r="E114" s="4" t="n"/>
      <c r="F114" s="11" t="n"/>
      <c r="G114" s="4" t="n"/>
      <c r="H114" s="11" t="n"/>
      <c r="I114" s="11" t="n"/>
      <c r="J114" s="9">
        <f>IF(OR(F114="",H114=""),"",IF(F114&gt;H114,E114,IF(H114&gt;F114,G114,"")))</f>
        <v/>
      </c>
      <c r="K114" s="4" t="n"/>
      <c r="L114" s="9">
        <f>IF(COUNTA(A114,C114,D114,E114,F114,G114,H114,I114)=0,"",IF(OR(A114="",C114="",E114="",G114=""),"Missing week/class/team",IF(AND(D114="",I114&lt;&gt;"Y"),"No chapter (forfeit?)",IF(AND(D114&lt;&gt;"",I114="Y"),"Forfeit has a chapter",IF(OR(F114="",H114=""),"Missing score",IF(F114=H114,"Tie score",IF(COUNTIFS($A$2:$A$801,A114,$E$2:$E$801,E114)+COUNTIFS($A$2:$A$801,A114,$G$2:$G$801,E114)&gt;1,"Team 1 listed twice this week",IF(COUNTIFS($A$2:$A$801,A114,$E$2:$E$801,G114)+COUNTIFS($A$2:$A$801,A114,$G$2:$G$801,G114)&gt;1,"Team 2 listed twice this week",""))))))))</f>
        <v/>
      </c>
    </row>
    <row r="115">
      <c r="A115" s="11" t="n"/>
      <c r="B115" s="9">
        <f>IF(A115="","",IFERROR(INDEX(Lists!$G$2:$G$7,MATCH(A115,Lists!$F$2:$F$7,0)),"?"))</f>
        <v/>
      </c>
      <c r="C115" s="4" t="n"/>
      <c r="D115" s="4" t="n"/>
      <c r="E115" s="4" t="n"/>
      <c r="F115" s="11" t="n"/>
      <c r="G115" s="4" t="n"/>
      <c r="H115" s="11" t="n"/>
      <c r="I115" s="11" t="n"/>
      <c r="J115" s="9">
        <f>IF(OR(F115="",H115=""),"",IF(F115&gt;H115,E115,IF(H115&gt;F115,G115,"")))</f>
        <v/>
      </c>
      <c r="K115" s="4" t="n"/>
      <c r="L115" s="9">
        <f>IF(COUNTA(A115,C115,D115,E115,F115,G115,H115,I115)=0,"",IF(OR(A115="",C115="",E115="",G115=""),"Missing week/class/team",IF(AND(D115="",I115&lt;&gt;"Y"),"No chapter (forfeit?)",IF(AND(D115&lt;&gt;"",I115="Y"),"Forfeit has a chapter",IF(OR(F115="",H115=""),"Missing score",IF(F115=H115,"Tie score",IF(COUNTIFS($A$2:$A$801,A115,$E$2:$E$801,E115)+COUNTIFS($A$2:$A$801,A115,$G$2:$G$801,E115)&gt;1,"Team 1 listed twice this week",IF(COUNTIFS($A$2:$A$801,A115,$E$2:$E$801,G115)+COUNTIFS($A$2:$A$801,A115,$G$2:$G$801,G115)&gt;1,"Team 2 listed twice this week",""))))))))</f>
        <v/>
      </c>
    </row>
    <row r="116">
      <c r="A116" s="11" t="n"/>
      <c r="B116" s="9">
        <f>IF(A116="","",IFERROR(INDEX(Lists!$G$2:$G$7,MATCH(A116,Lists!$F$2:$F$7,0)),"?"))</f>
        <v/>
      </c>
      <c r="C116" s="4" t="n"/>
      <c r="D116" s="4" t="n"/>
      <c r="E116" s="4" t="n"/>
      <c r="F116" s="11" t="n"/>
      <c r="G116" s="4" t="n"/>
      <c r="H116" s="11" t="n"/>
      <c r="I116" s="11" t="n"/>
      <c r="J116" s="9">
        <f>IF(OR(F116="",H116=""),"",IF(F116&gt;H116,E116,IF(H116&gt;F116,G116,"")))</f>
        <v/>
      </c>
      <c r="K116" s="4" t="n"/>
      <c r="L116" s="9">
        <f>IF(COUNTA(A116,C116,D116,E116,F116,G116,H116,I116)=0,"",IF(OR(A116="",C116="",E116="",G116=""),"Missing week/class/team",IF(AND(D116="",I116&lt;&gt;"Y"),"No chapter (forfeit?)",IF(AND(D116&lt;&gt;"",I116="Y"),"Forfeit has a chapter",IF(OR(F116="",H116=""),"Missing score",IF(F116=H116,"Tie score",IF(COUNTIFS($A$2:$A$801,A116,$E$2:$E$801,E116)+COUNTIFS($A$2:$A$801,A116,$G$2:$G$801,E116)&gt;1,"Team 1 listed twice this week",IF(COUNTIFS($A$2:$A$801,A116,$E$2:$E$801,G116)+COUNTIFS($A$2:$A$801,A116,$G$2:$G$801,G116)&gt;1,"Team 2 listed twice this week",""))))))))</f>
        <v/>
      </c>
    </row>
    <row r="117">
      <c r="A117" s="11" t="n"/>
      <c r="B117" s="9">
        <f>IF(A117="","",IFERROR(INDEX(Lists!$G$2:$G$7,MATCH(A117,Lists!$F$2:$F$7,0)),"?"))</f>
        <v/>
      </c>
      <c r="C117" s="4" t="n"/>
      <c r="D117" s="4" t="n"/>
      <c r="E117" s="4" t="n"/>
      <c r="F117" s="11" t="n"/>
      <c r="G117" s="4" t="n"/>
      <c r="H117" s="11" t="n"/>
      <c r="I117" s="11" t="n"/>
      <c r="J117" s="9">
        <f>IF(OR(F117="",H117=""),"",IF(F117&gt;H117,E117,IF(H117&gt;F117,G117,"")))</f>
        <v/>
      </c>
      <c r="K117" s="4" t="n"/>
      <c r="L117" s="9">
        <f>IF(COUNTA(A117,C117,D117,E117,F117,G117,H117,I117)=0,"",IF(OR(A117="",C117="",E117="",G117=""),"Missing week/class/team",IF(AND(D117="",I117&lt;&gt;"Y"),"No chapter (forfeit?)",IF(AND(D117&lt;&gt;"",I117="Y"),"Forfeit has a chapter",IF(OR(F117="",H117=""),"Missing score",IF(F117=H117,"Tie score",IF(COUNTIFS($A$2:$A$801,A117,$E$2:$E$801,E117)+COUNTIFS($A$2:$A$801,A117,$G$2:$G$801,E117)&gt;1,"Team 1 listed twice this week",IF(COUNTIFS($A$2:$A$801,A117,$E$2:$E$801,G117)+COUNTIFS($A$2:$A$801,A117,$G$2:$G$801,G117)&gt;1,"Team 2 listed twice this week",""))))))))</f>
        <v/>
      </c>
    </row>
    <row r="118">
      <c r="A118" s="11" t="n"/>
      <c r="B118" s="9">
        <f>IF(A118="","",IFERROR(INDEX(Lists!$G$2:$G$7,MATCH(A118,Lists!$F$2:$F$7,0)),"?"))</f>
        <v/>
      </c>
      <c r="C118" s="4" t="n"/>
      <c r="D118" s="4" t="n"/>
      <c r="E118" s="4" t="n"/>
      <c r="F118" s="11" t="n"/>
      <c r="G118" s="4" t="n"/>
      <c r="H118" s="11" t="n"/>
      <c r="I118" s="11" t="n"/>
      <c r="J118" s="9">
        <f>IF(OR(F118="",H118=""),"",IF(F118&gt;H118,E118,IF(H118&gt;F118,G118,"")))</f>
        <v/>
      </c>
      <c r="K118" s="4" t="n"/>
      <c r="L118" s="9">
        <f>IF(COUNTA(A118,C118,D118,E118,F118,G118,H118,I118)=0,"",IF(OR(A118="",C118="",E118="",G118=""),"Missing week/class/team",IF(AND(D118="",I118&lt;&gt;"Y"),"No chapter (forfeit?)",IF(AND(D118&lt;&gt;"",I118="Y"),"Forfeit has a chapter",IF(OR(F118="",H118=""),"Missing score",IF(F118=H118,"Tie score",IF(COUNTIFS($A$2:$A$801,A118,$E$2:$E$801,E118)+COUNTIFS($A$2:$A$801,A118,$G$2:$G$801,E118)&gt;1,"Team 1 listed twice this week",IF(COUNTIFS($A$2:$A$801,A118,$E$2:$E$801,G118)+COUNTIFS($A$2:$A$801,A118,$G$2:$G$801,G118)&gt;1,"Team 2 listed twice this week",""))))))))</f>
        <v/>
      </c>
    </row>
    <row r="119">
      <c r="A119" s="11" t="n"/>
      <c r="B119" s="9">
        <f>IF(A119="","",IFERROR(INDEX(Lists!$G$2:$G$7,MATCH(A119,Lists!$F$2:$F$7,0)),"?"))</f>
        <v/>
      </c>
      <c r="C119" s="4" t="n"/>
      <c r="D119" s="4" t="n"/>
      <c r="E119" s="4" t="n"/>
      <c r="F119" s="11" t="n"/>
      <c r="G119" s="4" t="n"/>
      <c r="H119" s="11" t="n"/>
      <c r="I119" s="11" t="n"/>
      <c r="J119" s="9">
        <f>IF(OR(F119="",H119=""),"",IF(F119&gt;H119,E119,IF(H119&gt;F119,G119,"")))</f>
        <v/>
      </c>
      <c r="K119" s="4" t="n"/>
      <c r="L119" s="9">
        <f>IF(COUNTA(A119,C119,D119,E119,F119,G119,H119,I119)=0,"",IF(OR(A119="",C119="",E119="",G119=""),"Missing week/class/team",IF(AND(D119="",I119&lt;&gt;"Y"),"No chapter (forfeit?)",IF(AND(D119&lt;&gt;"",I119="Y"),"Forfeit has a chapter",IF(OR(F119="",H119=""),"Missing score",IF(F119=H119,"Tie score",IF(COUNTIFS($A$2:$A$801,A119,$E$2:$E$801,E119)+COUNTIFS($A$2:$A$801,A119,$G$2:$G$801,E119)&gt;1,"Team 1 listed twice this week",IF(COUNTIFS($A$2:$A$801,A119,$E$2:$E$801,G119)+COUNTIFS($A$2:$A$801,A119,$G$2:$G$801,G119)&gt;1,"Team 2 listed twice this week",""))))))))</f>
        <v/>
      </c>
    </row>
    <row r="120">
      <c r="A120" s="11" t="n"/>
      <c r="B120" s="9">
        <f>IF(A120="","",IFERROR(INDEX(Lists!$G$2:$G$7,MATCH(A120,Lists!$F$2:$F$7,0)),"?"))</f>
        <v/>
      </c>
      <c r="C120" s="4" t="n"/>
      <c r="D120" s="4" t="n"/>
      <c r="E120" s="4" t="n"/>
      <c r="F120" s="11" t="n"/>
      <c r="G120" s="4" t="n"/>
      <c r="H120" s="11" t="n"/>
      <c r="I120" s="11" t="n"/>
      <c r="J120" s="9">
        <f>IF(OR(F120="",H120=""),"",IF(F120&gt;H120,E120,IF(H120&gt;F120,G120,"")))</f>
        <v/>
      </c>
      <c r="K120" s="4" t="n"/>
      <c r="L120" s="9">
        <f>IF(COUNTA(A120,C120,D120,E120,F120,G120,H120,I120)=0,"",IF(OR(A120="",C120="",E120="",G120=""),"Missing week/class/team",IF(AND(D120="",I120&lt;&gt;"Y"),"No chapter (forfeit?)",IF(AND(D120&lt;&gt;"",I120="Y"),"Forfeit has a chapter",IF(OR(F120="",H120=""),"Missing score",IF(F120=H120,"Tie score",IF(COUNTIFS($A$2:$A$801,A120,$E$2:$E$801,E120)+COUNTIFS($A$2:$A$801,A120,$G$2:$G$801,E120)&gt;1,"Team 1 listed twice this week",IF(COUNTIFS($A$2:$A$801,A120,$E$2:$E$801,G120)+COUNTIFS($A$2:$A$801,A120,$G$2:$G$801,G120)&gt;1,"Team 2 listed twice this week",""))))))))</f>
        <v/>
      </c>
    </row>
    <row r="121">
      <c r="A121" s="11" t="n"/>
      <c r="B121" s="9">
        <f>IF(A121="","",IFERROR(INDEX(Lists!$G$2:$G$7,MATCH(A121,Lists!$F$2:$F$7,0)),"?"))</f>
        <v/>
      </c>
      <c r="C121" s="4" t="n"/>
      <c r="D121" s="4" t="n"/>
      <c r="E121" s="4" t="n"/>
      <c r="F121" s="11" t="n"/>
      <c r="G121" s="4" t="n"/>
      <c r="H121" s="11" t="n"/>
      <c r="I121" s="11" t="n"/>
      <c r="J121" s="9">
        <f>IF(OR(F121="",H121=""),"",IF(F121&gt;H121,E121,IF(H121&gt;F121,G121,"")))</f>
        <v/>
      </c>
      <c r="K121" s="4" t="n"/>
      <c r="L121" s="9">
        <f>IF(COUNTA(A121,C121,D121,E121,F121,G121,H121,I121)=0,"",IF(OR(A121="",C121="",E121="",G121=""),"Missing week/class/team",IF(AND(D121="",I121&lt;&gt;"Y"),"No chapter (forfeit?)",IF(AND(D121&lt;&gt;"",I121="Y"),"Forfeit has a chapter",IF(OR(F121="",H121=""),"Missing score",IF(F121=H121,"Tie score",IF(COUNTIFS($A$2:$A$801,A121,$E$2:$E$801,E121)+COUNTIFS($A$2:$A$801,A121,$G$2:$G$801,E121)&gt;1,"Team 1 listed twice this week",IF(COUNTIFS($A$2:$A$801,A121,$E$2:$E$801,G121)+COUNTIFS($A$2:$A$801,A121,$G$2:$G$801,G121)&gt;1,"Team 2 listed twice this week",""))))))))</f>
        <v/>
      </c>
    </row>
    <row r="122">
      <c r="A122" s="11" t="n"/>
      <c r="B122" s="9">
        <f>IF(A122="","",IFERROR(INDEX(Lists!$G$2:$G$7,MATCH(A122,Lists!$F$2:$F$7,0)),"?"))</f>
        <v/>
      </c>
      <c r="C122" s="4" t="n"/>
      <c r="D122" s="4" t="n"/>
      <c r="E122" s="4" t="n"/>
      <c r="F122" s="11" t="n"/>
      <c r="G122" s="4" t="n"/>
      <c r="H122" s="11" t="n"/>
      <c r="I122" s="11" t="n"/>
      <c r="J122" s="9">
        <f>IF(OR(F122="",H122=""),"",IF(F122&gt;H122,E122,IF(H122&gt;F122,G122,"")))</f>
        <v/>
      </c>
      <c r="K122" s="4" t="n"/>
      <c r="L122" s="9">
        <f>IF(COUNTA(A122,C122,D122,E122,F122,G122,H122,I122)=0,"",IF(OR(A122="",C122="",E122="",G122=""),"Missing week/class/team",IF(AND(D122="",I122&lt;&gt;"Y"),"No chapter (forfeit?)",IF(AND(D122&lt;&gt;"",I122="Y"),"Forfeit has a chapter",IF(OR(F122="",H122=""),"Missing score",IF(F122=H122,"Tie score",IF(COUNTIFS($A$2:$A$801,A122,$E$2:$E$801,E122)+COUNTIFS($A$2:$A$801,A122,$G$2:$G$801,E122)&gt;1,"Team 1 listed twice this week",IF(COUNTIFS($A$2:$A$801,A122,$E$2:$E$801,G122)+COUNTIFS($A$2:$A$801,A122,$G$2:$G$801,G122)&gt;1,"Team 2 listed twice this week",""))))))))</f>
        <v/>
      </c>
    </row>
    <row r="123">
      <c r="A123" s="11" t="n"/>
      <c r="B123" s="9">
        <f>IF(A123="","",IFERROR(INDEX(Lists!$G$2:$G$7,MATCH(A123,Lists!$F$2:$F$7,0)),"?"))</f>
        <v/>
      </c>
      <c r="C123" s="4" t="n"/>
      <c r="D123" s="4" t="n"/>
      <c r="E123" s="4" t="n"/>
      <c r="F123" s="11" t="n"/>
      <c r="G123" s="4" t="n"/>
      <c r="H123" s="11" t="n"/>
      <c r="I123" s="11" t="n"/>
      <c r="J123" s="9">
        <f>IF(OR(F123="",H123=""),"",IF(F123&gt;H123,E123,IF(H123&gt;F123,G123,"")))</f>
        <v/>
      </c>
      <c r="K123" s="4" t="n"/>
      <c r="L123" s="9">
        <f>IF(COUNTA(A123,C123,D123,E123,F123,G123,H123,I123)=0,"",IF(OR(A123="",C123="",E123="",G123=""),"Missing week/class/team",IF(AND(D123="",I123&lt;&gt;"Y"),"No chapter (forfeit?)",IF(AND(D123&lt;&gt;"",I123="Y"),"Forfeit has a chapter",IF(OR(F123="",H123=""),"Missing score",IF(F123=H123,"Tie score",IF(COUNTIFS($A$2:$A$801,A123,$E$2:$E$801,E123)+COUNTIFS($A$2:$A$801,A123,$G$2:$G$801,E123)&gt;1,"Team 1 listed twice this week",IF(COUNTIFS($A$2:$A$801,A123,$E$2:$E$801,G123)+COUNTIFS($A$2:$A$801,A123,$G$2:$G$801,G123)&gt;1,"Team 2 listed twice this week",""))))))))</f>
        <v/>
      </c>
    </row>
    <row r="124">
      <c r="A124" s="11" t="n"/>
      <c r="B124" s="9">
        <f>IF(A124="","",IFERROR(INDEX(Lists!$G$2:$G$7,MATCH(A124,Lists!$F$2:$F$7,0)),"?"))</f>
        <v/>
      </c>
      <c r="C124" s="4" t="n"/>
      <c r="D124" s="4" t="n"/>
      <c r="E124" s="4" t="n"/>
      <c r="F124" s="11" t="n"/>
      <c r="G124" s="4" t="n"/>
      <c r="H124" s="11" t="n"/>
      <c r="I124" s="11" t="n"/>
      <c r="J124" s="9">
        <f>IF(OR(F124="",H124=""),"",IF(F124&gt;H124,E124,IF(H124&gt;F124,G124,"")))</f>
        <v/>
      </c>
      <c r="K124" s="4" t="n"/>
      <c r="L124" s="9">
        <f>IF(COUNTA(A124,C124,D124,E124,F124,G124,H124,I124)=0,"",IF(OR(A124="",C124="",E124="",G124=""),"Missing week/class/team",IF(AND(D124="",I124&lt;&gt;"Y"),"No chapter (forfeit?)",IF(AND(D124&lt;&gt;"",I124="Y"),"Forfeit has a chapter",IF(OR(F124="",H124=""),"Missing score",IF(F124=H124,"Tie score",IF(COUNTIFS($A$2:$A$801,A124,$E$2:$E$801,E124)+COUNTIFS($A$2:$A$801,A124,$G$2:$G$801,E124)&gt;1,"Team 1 listed twice this week",IF(COUNTIFS($A$2:$A$801,A124,$E$2:$E$801,G124)+COUNTIFS($A$2:$A$801,A124,$G$2:$G$801,G124)&gt;1,"Team 2 listed twice this week",""))))))))</f>
        <v/>
      </c>
    </row>
    <row r="125">
      <c r="A125" s="11" t="n"/>
      <c r="B125" s="9">
        <f>IF(A125="","",IFERROR(INDEX(Lists!$G$2:$G$7,MATCH(A125,Lists!$F$2:$F$7,0)),"?"))</f>
        <v/>
      </c>
      <c r="C125" s="4" t="n"/>
      <c r="D125" s="4" t="n"/>
      <c r="E125" s="4" t="n"/>
      <c r="F125" s="11" t="n"/>
      <c r="G125" s="4" t="n"/>
      <c r="H125" s="11" t="n"/>
      <c r="I125" s="11" t="n"/>
      <c r="J125" s="9">
        <f>IF(OR(F125="",H125=""),"",IF(F125&gt;H125,E125,IF(H125&gt;F125,G125,"")))</f>
        <v/>
      </c>
      <c r="K125" s="4" t="n"/>
      <c r="L125" s="9">
        <f>IF(COUNTA(A125,C125,D125,E125,F125,G125,H125,I125)=0,"",IF(OR(A125="",C125="",E125="",G125=""),"Missing week/class/team",IF(AND(D125="",I125&lt;&gt;"Y"),"No chapter (forfeit?)",IF(AND(D125&lt;&gt;"",I125="Y"),"Forfeit has a chapter",IF(OR(F125="",H125=""),"Missing score",IF(F125=H125,"Tie score",IF(COUNTIFS($A$2:$A$801,A125,$E$2:$E$801,E125)+COUNTIFS($A$2:$A$801,A125,$G$2:$G$801,E125)&gt;1,"Team 1 listed twice this week",IF(COUNTIFS($A$2:$A$801,A125,$E$2:$E$801,G125)+COUNTIFS($A$2:$A$801,A125,$G$2:$G$801,G125)&gt;1,"Team 2 listed twice this week",""))))))))</f>
        <v/>
      </c>
    </row>
    <row r="126">
      <c r="A126" s="11" t="n"/>
      <c r="B126" s="9">
        <f>IF(A126="","",IFERROR(INDEX(Lists!$G$2:$G$7,MATCH(A126,Lists!$F$2:$F$7,0)),"?"))</f>
        <v/>
      </c>
      <c r="C126" s="4" t="n"/>
      <c r="D126" s="4" t="n"/>
      <c r="E126" s="4" t="n"/>
      <c r="F126" s="11" t="n"/>
      <c r="G126" s="4" t="n"/>
      <c r="H126" s="11" t="n"/>
      <c r="I126" s="11" t="n"/>
      <c r="J126" s="9">
        <f>IF(OR(F126="",H126=""),"",IF(F126&gt;H126,E126,IF(H126&gt;F126,G126,"")))</f>
        <v/>
      </c>
      <c r="K126" s="4" t="n"/>
      <c r="L126" s="9">
        <f>IF(COUNTA(A126,C126,D126,E126,F126,G126,H126,I126)=0,"",IF(OR(A126="",C126="",E126="",G126=""),"Missing week/class/team",IF(AND(D126="",I126&lt;&gt;"Y"),"No chapter (forfeit?)",IF(AND(D126&lt;&gt;"",I126="Y"),"Forfeit has a chapter",IF(OR(F126="",H126=""),"Missing score",IF(F126=H126,"Tie score",IF(COUNTIFS($A$2:$A$801,A126,$E$2:$E$801,E126)+COUNTIFS($A$2:$A$801,A126,$G$2:$G$801,E126)&gt;1,"Team 1 listed twice this week",IF(COUNTIFS($A$2:$A$801,A126,$E$2:$E$801,G126)+COUNTIFS($A$2:$A$801,A126,$G$2:$G$801,G126)&gt;1,"Team 2 listed twice this week",""))))))))</f>
        <v/>
      </c>
    </row>
    <row r="127">
      <c r="A127" s="11" t="n"/>
      <c r="B127" s="9">
        <f>IF(A127="","",IFERROR(INDEX(Lists!$G$2:$G$7,MATCH(A127,Lists!$F$2:$F$7,0)),"?"))</f>
        <v/>
      </c>
      <c r="C127" s="4" t="n"/>
      <c r="D127" s="4" t="n"/>
      <c r="E127" s="4" t="n"/>
      <c r="F127" s="11" t="n"/>
      <c r="G127" s="4" t="n"/>
      <c r="H127" s="11" t="n"/>
      <c r="I127" s="11" t="n"/>
      <c r="J127" s="9">
        <f>IF(OR(F127="",H127=""),"",IF(F127&gt;H127,E127,IF(H127&gt;F127,G127,"")))</f>
        <v/>
      </c>
      <c r="K127" s="4" t="n"/>
      <c r="L127" s="9">
        <f>IF(COUNTA(A127,C127,D127,E127,F127,G127,H127,I127)=0,"",IF(OR(A127="",C127="",E127="",G127=""),"Missing week/class/team",IF(AND(D127="",I127&lt;&gt;"Y"),"No chapter (forfeit?)",IF(AND(D127&lt;&gt;"",I127="Y"),"Forfeit has a chapter",IF(OR(F127="",H127=""),"Missing score",IF(F127=H127,"Tie score",IF(COUNTIFS($A$2:$A$801,A127,$E$2:$E$801,E127)+COUNTIFS($A$2:$A$801,A127,$G$2:$G$801,E127)&gt;1,"Team 1 listed twice this week",IF(COUNTIFS($A$2:$A$801,A127,$E$2:$E$801,G127)+COUNTIFS($A$2:$A$801,A127,$G$2:$G$801,G127)&gt;1,"Team 2 listed twice this week",""))))))))</f>
        <v/>
      </c>
    </row>
    <row r="128">
      <c r="A128" s="11" t="n"/>
      <c r="B128" s="9">
        <f>IF(A128="","",IFERROR(INDEX(Lists!$G$2:$G$7,MATCH(A128,Lists!$F$2:$F$7,0)),"?"))</f>
        <v/>
      </c>
      <c r="C128" s="4" t="n"/>
      <c r="D128" s="4" t="n"/>
      <c r="E128" s="4" t="n"/>
      <c r="F128" s="11" t="n"/>
      <c r="G128" s="4" t="n"/>
      <c r="H128" s="11" t="n"/>
      <c r="I128" s="11" t="n"/>
      <c r="J128" s="9">
        <f>IF(OR(F128="",H128=""),"",IF(F128&gt;H128,E128,IF(H128&gt;F128,G128,"")))</f>
        <v/>
      </c>
      <c r="K128" s="4" t="n"/>
      <c r="L128" s="9">
        <f>IF(COUNTA(A128,C128,D128,E128,F128,G128,H128,I128)=0,"",IF(OR(A128="",C128="",E128="",G128=""),"Missing week/class/team",IF(AND(D128="",I128&lt;&gt;"Y"),"No chapter (forfeit?)",IF(AND(D128&lt;&gt;"",I128="Y"),"Forfeit has a chapter",IF(OR(F128="",H128=""),"Missing score",IF(F128=H128,"Tie score",IF(COUNTIFS($A$2:$A$801,A128,$E$2:$E$801,E128)+COUNTIFS($A$2:$A$801,A128,$G$2:$G$801,E128)&gt;1,"Team 1 listed twice this week",IF(COUNTIFS($A$2:$A$801,A128,$E$2:$E$801,G128)+COUNTIFS($A$2:$A$801,A128,$G$2:$G$801,G128)&gt;1,"Team 2 listed twice this week",""))))))))</f>
        <v/>
      </c>
    </row>
    <row r="129">
      <c r="A129" s="11" t="n"/>
      <c r="B129" s="9">
        <f>IF(A129="","",IFERROR(INDEX(Lists!$G$2:$G$7,MATCH(A129,Lists!$F$2:$F$7,0)),"?"))</f>
        <v/>
      </c>
      <c r="C129" s="4" t="n"/>
      <c r="D129" s="4" t="n"/>
      <c r="E129" s="4" t="n"/>
      <c r="F129" s="11" t="n"/>
      <c r="G129" s="4" t="n"/>
      <c r="H129" s="11" t="n"/>
      <c r="I129" s="11" t="n"/>
      <c r="J129" s="9">
        <f>IF(OR(F129="",H129=""),"",IF(F129&gt;H129,E129,IF(H129&gt;F129,G129,"")))</f>
        <v/>
      </c>
      <c r="K129" s="4" t="n"/>
      <c r="L129" s="9">
        <f>IF(COUNTA(A129,C129,D129,E129,F129,G129,H129,I129)=0,"",IF(OR(A129="",C129="",E129="",G129=""),"Missing week/class/team",IF(AND(D129="",I129&lt;&gt;"Y"),"No chapter (forfeit?)",IF(AND(D129&lt;&gt;"",I129="Y"),"Forfeit has a chapter",IF(OR(F129="",H129=""),"Missing score",IF(F129=H129,"Tie score",IF(COUNTIFS($A$2:$A$801,A129,$E$2:$E$801,E129)+COUNTIFS($A$2:$A$801,A129,$G$2:$G$801,E129)&gt;1,"Team 1 listed twice this week",IF(COUNTIFS($A$2:$A$801,A129,$E$2:$E$801,G129)+COUNTIFS($A$2:$A$801,A129,$G$2:$G$801,G129)&gt;1,"Team 2 listed twice this week",""))))))))</f>
        <v/>
      </c>
    </row>
    <row r="130">
      <c r="A130" s="11" t="n"/>
      <c r="B130" s="9">
        <f>IF(A130="","",IFERROR(INDEX(Lists!$G$2:$G$7,MATCH(A130,Lists!$F$2:$F$7,0)),"?"))</f>
        <v/>
      </c>
      <c r="C130" s="4" t="n"/>
      <c r="D130" s="4" t="n"/>
      <c r="E130" s="4" t="n"/>
      <c r="F130" s="11" t="n"/>
      <c r="G130" s="4" t="n"/>
      <c r="H130" s="11" t="n"/>
      <c r="I130" s="11" t="n"/>
      <c r="J130" s="9">
        <f>IF(OR(F130="",H130=""),"",IF(F130&gt;H130,E130,IF(H130&gt;F130,G130,"")))</f>
        <v/>
      </c>
      <c r="K130" s="4" t="n"/>
      <c r="L130" s="9">
        <f>IF(COUNTA(A130,C130,D130,E130,F130,G130,H130,I130)=0,"",IF(OR(A130="",C130="",E130="",G130=""),"Missing week/class/team",IF(AND(D130="",I130&lt;&gt;"Y"),"No chapter (forfeit?)",IF(AND(D130&lt;&gt;"",I130="Y"),"Forfeit has a chapter",IF(OR(F130="",H130=""),"Missing score",IF(F130=H130,"Tie score",IF(COUNTIFS($A$2:$A$801,A130,$E$2:$E$801,E130)+COUNTIFS($A$2:$A$801,A130,$G$2:$G$801,E130)&gt;1,"Team 1 listed twice this week",IF(COUNTIFS($A$2:$A$801,A130,$E$2:$E$801,G130)+COUNTIFS($A$2:$A$801,A130,$G$2:$G$801,G130)&gt;1,"Team 2 listed twice this week",""))))))))</f>
        <v/>
      </c>
    </row>
    <row r="131">
      <c r="A131" s="11" t="n"/>
      <c r="B131" s="9">
        <f>IF(A131="","",IFERROR(INDEX(Lists!$G$2:$G$7,MATCH(A131,Lists!$F$2:$F$7,0)),"?"))</f>
        <v/>
      </c>
      <c r="C131" s="4" t="n"/>
      <c r="D131" s="4" t="n"/>
      <c r="E131" s="4" t="n"/>
      <c r="F131" s="11" t="n"/>
      <c r="G131" s="4" t="n"/>
      <c r="H131" s="11" t="n"/>
      <c r="I131" s="11" t="n"/>
      <c r="J131" s="9">
        <f>IF(OR(F131="",H131=""),"",IF(F131&gt;H131,E131,IF(H131&gt;F131,G131,"")))</f>
        <v/>
      </c>
      <c r="K131" s="4" t="n"/>
      <c r="L131" s="9">
        <f>IF(COUNTA(A131,C131,D131,E131,F131,G131,H131,I131)=0,"",IF(OR(A131="",C131="",E131="",G131=""),"Missing week/class/team",IF(AND(D131="",I131&lt;&gt;"Y"),"No chapter (forfeit?)",IF(AND(D131&lt;&gt;"",I131="Y"),"Forfeit has a chapter",IF(OR(F131="",H131=""),"Missing score",IF(F131=H131,"Tie score",IF(COUNTIFS($A$2:$A$801,A131,$E$2:$E$801,E131)+COUNTIFS($A$2:$A$801,A131,$G$2:$G$801,E131)&gt;1,"Team 1 listed twice this week",IF(COUNTIFS($A$2:$A$801,A131,$E$2:$E$801,G131)+COUNTIFS($A$2:$A$801,A131,$G$2:$G$801,G131)&gt;1,"Team 2 listed twice this week",""))))))))</f>
        <v/>
      </c>
    </row>
    <row r="132">
      <c r="A132" s="11" t="n"/>
      <c r="B132" s="9">
        <f>IF(A132="","",IFERROR(INDEX(Lists!$G$2:$G$7,MATCH(A132,Lists!$F$2:$F$7,0)),"?"))</f>
        <v/>
      </c>
      <c r="C132" s="4" t="n"/>
      <c r="D132" s="4" t="n"/>
      <c r="E132" s="4" t="n"/>
      <c r="F132" s="11" t="n"/>
      <c r="G132" s="4" t="n"/>
      <c r="H132" s="11" t="n"/>
      <c r="I132" s="11" t="n"/>
      <c r="J132" s="9">
        <f>IF(OR(F132="",H132=""),"",IF(F132&gt;H132,E132,IF(H132&gt;F132,G132,"")))</f>
        <v/>
      </c>
      <c r="K132" s="4" t="n"/>
      <c r="L132" s="9">
        <f>IF(COUNTA(A132,C132,D132,E132,F132,G132,H132,I132)=0,"",IF(OR(A132="",C132="",E132="",G132=""),"Missing week/class/team",IF(AND(D132="",I132&lt;&gt;"Y"),"No chapter (forfeit?)",IF(AND(D132&lt;&gt;"",I132="Y"),"Forfeit has a chapter",IF(OR(F132="",H132=""),"Missing score",IF(F132=H132,"Tie score",IF(COUNTIFS($A$2:$A$801,A132,$E$2:$E$801,E132)+COUNTIFS($A$2:$A$801,A132,$G$2:$G$801,E132)&gt;1,"Team 1 listed twice this week",IF(COUNTIFS($A$2:$A$801,A132,$E$2:$E$801,G132)+COUNTIFS($A$2:$A$801,A132,$G$2:$G$801,G132)&gt;1,"Team 2 listed twice this week",""))))))))</f>
        <v/>
      </c>
    </row>
    <row r="133">
      <c r="A133" s="11" t="n"/>
      <c r="B133" s="9">
        <f>IF(A133="","",IFERROR(INDEX(Lists!$G$2:$G$7,MATCH(A133,Lists!$F$2:$F$7,0)),"?"))</f>
        <v/>
      </c>
      <c r="C133" s="4" t="n"/>
      <c r="D133" s="4" t="n"/>
      <c r="E133" s="4" t="n"/>
      <c r="F133" s="11" t="n"/>
      <c r="G133" s="4" t="n"/>
      <c r="H133" s="11" t="n"/>
      <c r="I133" s="11" t="n"/>
      <c r="J133" s="9">
        <f>IF(OR(F133="",H133=""),"",IF(F133&gt;H133,E133,IF(H133&gt;F133,G133,"")))</f>
        <v/>
      </c>
      <c r="K133" s="4" t="n"/>
      <c r="L133" s="9">
        <f>IF(COUNTA(A133,C133,D133,E133,F133,G133,H133,I133)=0,"",IF(OR(A133="",C133="",E133="",G133=""),"Missing week/class/team",IF(AND(D133="",I133&lt;&gt;"Y"),"No chapter (forfeit?)",IF(AND(D133&lt;&gt;"",I133="Y"),"Forfeit has a chapter",IF(OR(F133="",H133=""),"Missing score",IF(F133=H133,"Tie score",IF(COUNTIFS($A$2:$A$801,A133,$E$2:$E$801,E133)+COUNTIFS($A$2:$A$801,A133,$G$2:$G$801,E133)&gt;1,"Team 1 listed twice this week",IF(COUNTIFS($A$2:$A$801,A133,$E$2:$E$801,G133)+COUNTIFS($A$2:$A$801,A133,$G$2:$G$801,G133)&gt;1,"Team 2 listed twice this week",""))))))))</f>
        <v/>
      </c>
    </row>
    <row r="134">
      <c r="A134" s="11" t="n"/>
      <c r="B134" s="9">
        <f>IF(A134="","",IFERROR(INDEX(Lists!$G$2:$G$7,MATCH(A134,Lists!$F$2:$F$7,0)),"?"))</f>
        <v/>
      </c>
      <c r="C134" s="4" t="n"/>
      <c r="D134" s="4" t="n"/>
      <c r="E134" s="4" t="n"/>
      <c r="F134" s="11" t="n"/>
      <c r="G134" s="4" t="n"/>
      <c r="H134" s="11" t="n"/>
      <c r="I134" s="11" t="n"/>
      <c r="J134" s="9">
        <f>IF(OR(F134="",H134=""),"",IF(F134&gt;H134,E134,IF(H134&gt;F134,G134,"")))</f>
        <v/>
      </c>
      <c r="K134" s="4" t="n"/>
      <c r="L134" s="9">
        <f>IF(COUNTA(A134,C134,D134,E134,F134,G134,H134,I134)=0,"",IF(OR(A134="",C134="",E134="",G134=""),"Missing week/class/team",IF(AND(D134="",I134&lt;&gt;"Y"),"No chapter (forfeit?)",IF(AND(D134&lt;&gt;"",I134="Y"),"Forfeit has a chapter",IF(OR(F134="",H134=""),"Missing score",IF(F134=H134,"Tie score",IF(COUNTIFS($A$2:$A$801,A134,$E$2:$E$801,E134)+COUNTIFS($A$2:$A$801,A134,$G$2:$G$801,E134)&gt;1,"Team 1 listed twice this week",IF(COUNTIFS($A$2:$A$801,A134,$E$2:$E$801,G134)+COUNTIFS($A$2:$A$801,A134,$G$2:$G$801,G134)&gt;1,"Team 2 listed twice this week",""))))))))</f>
        <v/>
      </c>
    </row>
    <row r="135">
      <c r="A135" s="11" t="n"/>
      <c r="B135" s="9">
        <f>IF(A135="","",IFERROR(INDEX(Lists!$G$2:$G$7,MATCH(A135,Lists!$F$2:$F$7,0)),"?"))</f>
        <v/>
      </c>
      <c r="C135" s="4" t="n"/>
      <c r="D135" s="4" t="n"/>
      <c r="E135" s="4" t="n"/>
      <c r="F135" s="11" t="n"/>
      <c r="G135" s="4" t="n"/>
      <c r="H135" s="11" t="n"/>
      <c r="I135" s="11" t="n"/>
      <c r="J135" s="9">
        <f>IF(OR(F135="",H135=""),"",IF(F135&gt;H135,E135,IF(H135&gt;F135,G135,"")))</f>
        <v/>
      </c>
      <c r="K135" s="4" t="n"/>
      <c r="L135" s="9">
        <f>IF(COUNTA(A135,C135,D135,E135,F135,G135,H135,I135)=0,"",IF(OR(A135="",C135="",E135="",G135=""),"Missing week/class/team",IF(AND(D135="",I135&lt;&gt;"Y"),"No chapter (forfeit?)",IF(AND(D135&lt;&gt;"",I135="Y"),"Forfeit has a chapter",IF(OR(F135="",H135=""),"Missing score",IF(F135=H135,"Tie score",IF(COUNTIFS($A$2:$A$801,A135,$E$2:$E$801,E135)+COUNTIFS($A$2:$A$801,A135,$G$2:$G$801,E135)&gt;1,"Team 1 listed twice this week",IF(COUNTIFS($A$2:$A$801,A135,$E$2:$E$801,G135)+COUNTIFS($A$2:$A$801,A135,$G$2:$G$801,G135)&gt;1,"Team 2 listed twice this week",""))))))))</f>
        <v/>
      </c>
    </row>
    <row r="136">
      <c r="A136" s="11" t="n"/>
      <c r="B136" s="9">
        <f>IF(A136="","",IFERROR(INDEX(Lists!$G$2:$G$7,MATCH(A136,Lists!$F$2:$F$7,0)),"?"))</f>
        <v/>
      </c>
      <c r="C136" s="4" t="n"/>
      <c r="D136" s="4" t="n"/>
      <c r="E136" s="4" t="n"/>
      <c r="F136" s="11" t="n"/>
      <c r="G136" s="4" t="n"/>
      <c r="H136" s="11" t="n"/>
      <c r="I136" s="11" t="n"/>
      <c r="J136" s="9">
        <f>IF(OR(F136="",H136=""),"",IF(F136&gt;H136,E136,IF(H136&gt;F136,G136,"")))</f>
        <v/>
      </c>
      <c r="K136" s="4" t="n"/>
      <c r="L136" s="9">
        <f>IF(COUNTA(A136,C136,D136,E136,F136,G136,H136,I136)=0,"",IF(OR(A136="",C136="",E136="",G136=""),"Missing week/class/team",IF(AND(D136="",I136&lt;&gt;"Y"),"No chapter (forfeit?)",IF(AND(D136&lt;&gt;"",I136="Y"),"Forfeit has a chapter",IF(OR(F136="",H136=""),"Missing score",IF(F136=H136,"Tie score",IF(COUNTIFS($A$2:$A$801,A136,$E$2:$E$801,E136)+COUNTIFS($A$2:$A$801,A136,$G$2:$G$801,E136)&gt;1,"Team 1 listed twice this week",IF(COUNTIFS($A$2:$A$801,A136,$E$2:$E$801,G136)+COUNTIFS($A$2:$A$801,A136,$G$2:$G$801,G136)&gt;1,"Team 2 listed twice this week",""))))))))</f>
        <v/>
      </c>
    </row>
    <row r="137">
      <c r="A137" s="11" t="n"/>
      <c r="B137" s="9">
        <f>IF(A137="","",IFERROR(INDEX(Lists!$G$2:$G$7,MATCH(A137,Lists!$F$2:$F$7,0)),"?"))</f>
        <v/>
      </c>
      <c r="C137" s="4" t="n"/>
      <c r="D137" s="4" t="n"/>
      <c r="E137" s="4" t="n"/>
      <c r="F137" s="11" t="n"/>
      <c r="G137" s="4" t="n"/>
      <c r="H137" s="11" t="n"/>
      <c r="I137" s="11" t="n"/>
      <c r="J137" s="9">
        <f>IF(OR(F137="",H137=""),"",IF(F137&gt;H137,E137,IF(H137&gt;F137,G137,"")))</f>
        <v/>
      </c>
      <c r="K137" s="4" t="n"/>
      <c r="L137" s="9">
        <f>IF(COUNTA(A137,C137,D137,E137,F137,G137,H137,I137)=0,"",IF(OR(A137="",C137="",E137="",G137=""),"Missing week/class/team",IF(AND(D137="",I137&lt;&gt;"Y"),"No chapter (forfeit?)",IF(AND(D137&lt;&gt;"",I137="Y"),"Forfeit has a chapter",IF(OR(F137="",H137=""),"Missing score",IF(F137=H137,"Tie score",IF(COUNTIFS($A$2:$A$801,A137,$E$2:$E$801,E137)+COUNTIFS($A$2:$A$801,A137,$G$2:$G$801,E137)&gt;1,"Team 1 listed twice this week",IF(COUNTIFS($A$2:$A$801,A137,$E$2:$E$801,G137)+COUNTIFS($A$2:$A$801,A137,$G$2:$G$801,G137)&gt;1,"Team 2 listed twice this week",""))))))))</f>
        <v/>
      </c>
    </row>
    <row r="138">
      <c r="A138" s="11" t="n"/>
      <c r="B138" s="9">
        <f>IF(A138="","",IFERROR(INDEX(Lists!$G$2:$G$7,MATCH(A138,Lists!$F$2:$F$7,0)),"?"))</f>
        <v/>
      </c>
      <c r="C138" s="4" t="n"/>
      <c r="D138" s="4" t="n"/>
      <c r="E138" s="4" t="n"/>
      <c r="F138" s="11" t="n"/>
      <c r="G138" s="4" t="n"/>
      <c r="H138" s="11" t="n"/>
      <c r="I138" s="11" t="n"/>
      <c r="J138" s="9">
        <f>IF(OR(F138="",H138=""),"",IF(F138&gt;H138,E138,IF(H138&gt;F138,G138,"")))</f>
        <v/>
      </c>
      <c r="K138" s="4" t="n"/>
      <c r="L138" s="9">
        <f>IF(COUNTA(A138,C138,D138,E138,F138,G138,H138,I138)=0,"",IF(OR(A138="",C138="",E138="",G138=""),"Missing week/class/team",IF(AND(D138="",I138&lt;&gt;"Y"),"No chapter (forfeit?)",IF(AND(D138&lt;&gt;"",I138="Y"),"Forfeit has a chapter",IF(OR(F138="",H138=""),"Missing score",IF(F138=H138,"Tie score",IF(COUNTIFS($A$2:$A$801,A138,$E$2:$E$801,E138)+COUNTIFS($A$2:$A$801,A138,$G$2:$G$801,E138)&gt;1,"Team 1 listed twice this week",IF(COUNTIFS($A$2:$A$801,A138,$E$2:$E$801,G138)+COUNTIFS($A$2:$A$801,A138,$G$2:$G$801,G138)&gt;1,"Team 2 listed twice this week",""))))))))</f>
        <v/>
      </c>
    </row>
    <row r="139">
      <c r="A139" s="11" t="n"/>
      <c r="B139" s="9">
        <f>IF(A139="","",IFERROR(INDEX(Lists!$G$2:$G$7,MATCH(A139,Lists!$F$2:$F$7,0)),"?"))</f>
        <v/>
      </c>
      <c r="C139" s="4" t="n"/>
      <c r="D139" s="4" t="n"/>
      <c r="E139" s="4" t="n"/>
      <c r="F139" s="11" t="n"/>
      <c r="G139" s="4" t="n"/>
      <c r="H139" s="11" t="n"/>
      <c r="I139" s="11" t="n"/>
      <c r="J139" s="9">
        <f>IF(OR(F139="",H139=""),"",IF(F139&gt;H139,E139,IF(H139&gt;F139,G139,"")))</f>
        <v/>
      </c>
      <c r="K139" s="4" t="n"/>
      <c r="L139" s="9">
        <f>IF(COUNTA(A139,C139,D139,E139,F139,G139,H139,I139)=0,"",IF(OR(A139="",C139="",E139="",G139=""),"Missing week/class/team",IF(AND(D139="",I139&lt;&gt;"Y"),"No chapter (forfeit?)",IF(AND(D139&lt;&gt;"",I139="Y"),"Forfeit has a chapter",IF(OR(F139="",H139=""),"Missing score",IF(F139=H139,"Tie score",IF(COUNTIFS($A$2:$A$801,A139,$E$2:$E$801,E139)+COUNTIFS($A$2:$A$801,A139,$G$2:$G$801,E139)&gt;1,"Team 1 listed twice this week",IF(COUNTIFS($A$2:$A$801,A139,$E$2:$E$801,G139)+COUNTIFS($A$2:$A$801,A139,$G$2:$G$801,G139)&gt;1,"Team 2 listed twice this week",""))))))))</f>
        <v/>
      </c>
    </row>
    <row r="140">
      <c r="A140" s="11" t="n"/>
      <c r="B140" s="9">
        <f>IF(A140="","",IFERROR(INDEX(Lists!$G$2:$G$7,MATCH(A140,Lists!$F$2:$F$7,0)),"?"))</f>
        <v/>
      </c>
      <c r="C140" s="4" t="n"/>
      <c r="D140" s="4" t="n"/>
      <c r="E140" s="4" t="n"/>
      <c r="F140" s="11" t="n"/>
      <c r="G140" s="4" t="n"/>
      <c r="H140" s="11" t="n"/>
      <c r="I140" s="11" t="n"/>
      <c r="J140" s="9">
        <f>IF(OR(F140="",H140=""),"",IF(F140&gt;H140,E140,IF(H140&gt;F140,G140,"")))</f>
        <v/>
      </c>
      <c r="K140" s="4" t="n"/>
      <c r="L140" s="9">
        <f>IF(COUNTA(A140,C140,D140,E140,F140,G140,H140,I140)=0,"",IF(OR(A140="",C140="",E140="",G140=""),"Missing week/class/team",IF(AND(D140="",I140&lt;&gt;"Y"),"No chapter (forfeit?)",IF(AND(D140&lt;&gt;"",I140="Y"),"Forfeit has a chapter",IF(OR(F140="",H140=""),"Missing score",IF(F140=H140,"Tie score",IF(COUNTIFS($A$2:$A$801,A140,$E$2:$E$801,E140)+COUNTIFS($A$2:$A$801,A140,$G$2:$G$801,E140)&gt;1,"Team 1 listed twice this week",IF(COUNTIFS($A$2:$A$801,A140,$E$2:$E$801,G140)+COUNTIFS($A$2:$A$801,A140,$G$2:$G$801,G140)&gt;1,"Team 2 listed twice this week",""))))))))</f>
        <v/>
      </c>
    </row>
    <row r="141">
      <c r="A141" s="11" t="n"/>
      <c r="B141" s="9">
        <f>IF(A141="","",IFERROR(INDEX(Lists!$G$2:$G$7,MATCH(A141,Lists!$F$2:$F$7,0)),"?"))</f>
        <v/>
      </c>
      <c r="C141" s="4" t="n"/>
      <c r="D141" s="4" t="n"/>
      <c r="E141" s="4" t="n"/>
      <c r="F141" s="11" t="n"/>
      <c r="G141" s="4" t="n"/>
      <c r="H141" s="11" t="n"/>
      <c r="I141" s="11" t="n"/>
      <c r="J141" s="9">
        <f>IF(OR(F141="",H141=""),"",IF(F141&gt;H141,E141,IF(H141&gt;F141,G141,"")))</f>
        <v/>
      </c>
      <c r="K141" s="4" t="n"/>
      <c r="L141" s="9">
        <f>IF(COUNTA(A141,C141,D141,E141,F141,G141,H141,I141)=0,"",IF(OR(A141="",C141="",E141="",G141=""),"Missing week/class/team",IF(AND(D141="",I141&lt;&gt;"Y"),"No chapter (forfeit?)",IF(AND(D141&lt;&gt;"",I141="Y"),"Forfeit has a chapter",IF(OR(F141="",H141=""),"Missing score",IF(F141=H141,"Tie score",IF(COUNTIFS($A$2:$A$801,A141,$E$2:$E$801,E141)+COUNTIFS($A$2:$A$801,A141,$G$2:$G$801,E141)&gt;1,"Team 1 listed twice this week",IF(COUNTIFS($A$2:$A$801,A141,$E$2:$E$801,G141)+COUNTIFS($A$2:$A$801,A141,$G$2:$G$801,G141)&gt;1,"Team 2 listed twice this week",""))))))))</f>
        <v/>
      </c>
    </row>
    <row r="142">
      <c r="A142" s="11" t="n"/>
      <c r="B142" s="9">
        <f>IF(A142="","",IFERROR(INDEX(Lists!$G$2:$G$7,MATCH(A142,Lists!$F$2:$F$7,0)),"?"))</f>
        <v/>
      </c>
      <c r="C142" s="4" t="n"/>
      <c r="D142" s="4" t="n"/>
      <c r="E142" s="4" t="n"/>
      <c r="F142" s="11" t="n"/>
      <c r="G142" s="4" t="n"/>
      <c r="H142" s="11" t="n"/>
      <c r="I142" s="11" t="n"/>
      <c r="J142" s="9">
        <f>IF(OR(F142="",H142=""),"",IF(F142&gt;H142,E142,IF(H142&gt;F142,G142,"")))</f>
        <v/>
      </c>
      <c r="K142" s="4" t="n"/>
      <c r="L142" s="9">
        <f>IF(COUNTA(A142,C142,D142,E142,F142,G142,H142,I142)=0,"",IF(OR(A142="",C142="",E142="",G142=""),"Missing week/class/team",IF(AND(D142="",I142&lt;&gt;"Y"),"No chapter (forfeit?)",IF(AND(D142&lt;&gt;"",I142="Y"),"Forfeit has a chapter",IF(OR(F142="",H142=""),"Missing score",IF(F142=H142,"Tie score",IF(COUNTIFS($A$2:$A$801,A142,$E$2:$E$801,E142)+COUNTIFS($A$2:$A$801,A142,$G$2:$G$801,E142)&gt;1,"Team 1 listed twice this week",IF(COUNTIFS($A$2:$A$801,A142,$E$2:$E$801,G142)+COUNTIFS($A$2:$A$801,A142,$G$2:$G$801,G142)&gt;1,"Team 2 listed twice this week",""))))))))</f>
        <v/>
      </c>
    </row>
    <row r="143">
      <c r="A143" s="11" t="n"/>
      <c r="B143" s="9">
        <f>IF(A143="","",IFERROR(INDEX(Lists!$G$2:$G$7,MATCH(A143,Lists!$F$2:$F$7,0)),"?"))</f>
        <v/>
      </c>
      <c r="C143" s="4" t="n"/>
      <c r="D143" s="4" t="n"/>
      <c r="E143" s="4" t="n"/>
      <c r="F143" s="11" t="n"/>
      <c r="G143" s="4" t="n"/>
      <c r="H143" s="11" t="n"/>
      <c r="I143" s="11" t="n"/>
      <c r="J143" s="9">
        <f>IF(OR(F143="",H143=""),"",IF(F143&gt;H143,E143,IF(H143&gt;F143,G143,"")))</f>
        <v/>
      </c>
      <c r="K143" s="4" t="n"/>
      <c r="L143" s="9">
        <f>IF(COUNTA(A143,C143,D143,E143,F143,G143,H143,I143)=0,"",IF(OR(A143="",C143="",E143="",G143=""),"Missing week/class/team",IF(AND(D143="",I143&lt;&gt;"Y"),"No chapter (forfeit?)",IF(AND(D143&lt;&gt;"",I143="Y"),"Forfeit has a chapter",IF(OR(F143="",H143=""),"Missing score",IF(F143=H143,"Tie score",IF(COUNTIFS($A$2:$A$801,A143,$E$2:$E$801,E143)+COUNTIFS($A$2:$A$801,A143,$G$2:$G$801,E143)&gt;1,"Team 1 listed twice this week",IF(COUNTIFS($A$2:$A$801,A143,$E$2:$E$801,G143)+COUNTIFS($A$2:$A$801,A143,$G$2:$G$801,G143)&gt;1,"Team 2 listed twice this week",""))))))))</f>
        <v/>
      </c>
    </row>
    <row r="144">
      <c r="A144" s="11" t="n"/>
      <c r="B144" s="9">
        <f>IF(A144="","",IFERROR(INDEX(Lists!$G$2:$G$7,MATCH(A144,Lists!$F$2:$F$7,0)),"?"))</f>
        <v/>
      </c>
      <c r="C144" s="4" t="n"/>
      <c r="D144" s="4" t="n"/>
      <c r="E144" s="4" t="n"/>
      <c r="F144" s="11" t="n"/>
      <c r="G144" s="4" t="n"/>
      <c r="H144" s="11" t="n"/>
      <c r="I144" s="11" t="n"/>
      <c r="J144" s="9">
        <f>IF(OR(F144="",H144=""),"",IF(F144&gt;H144,E144,IF(H144&gt;F144,G144,"")))</f>
        <v/>
      </c>
      <c r="K144" s="4" t="n"/>
      <c r="L144" s="9">
        <f>IF(COUNTA(A144,C144,D144,E144,F144,G144,H144,I144)=0,"",IF(OR(A144="",C144="",E144="",G144=""),"Missing week/class/team",IF(AND(D144="",I144&lt;&gt;"Y"),"No chapter (forfeit?)",IF(AND(D144&lt;&gt;"",I144="Y"),"Forfeit has a chapter",IF(OR(F144="",H144=""),"Missing score",IF(F144=H144,"Tie score",IF(COUNTIFS($A$2:$A$801,A144,$E$2:$E$801,E144)+COUNTIFS($A$2:$A$801,A144,$G$2:$G$801,E144)&gt;1,"Team 1 listed twice this week",IF(COUNTIFS($A$2:$A$801,A144,$E$2:$E$801,G144)+COUNTIFS($A$2:$A$801,A144,$G$2:$G$801,G144)&gt;1,"Team 2 listed twice this week",""))))))))</f>
        <v/>
      </c>
    </row>
    <row r="145">
      <c r="A145" s="11" t="n"/>
      <c r="B145" s="9">
        <f>IF(A145="","",IFERROR(INDEX(Lists!$G$2:$G$7,MATCH(A145,Lists!$F$2:$F$7,0)),"?"))</f>
        <v/>
      </c>
      <c r="C145" s="4" t="n"/>
      <c r="D145" s="4" t="n"/>
      <c r="E145" s="4" t="n"/>
      <c r="F145" s="11" t="n"/>
      <c r="G145" s="4" t="n"/>
      <c r="H145" s="11" t="n"/>
      <c r="I145" s="11" t="n"/>
      <c r="J145" s="9">
        <f>IF(OR(F145="",H145=""),"",IF(F145&gt;H145,E145,IF(H145&gt;F145,G145,"")))</f>
        <v/>
      </c>
      <c r="K145" s="4" t="n"/>
      <c r="L145" s="9">
        <f>IF(COUNTA(A145,C145,D145,E145,F145,G145,H145,I145)=0,"",IF(OR(A145="",C145="",E145="",G145=""),"Missing week/class/team",IF(AND(D145="",I145&lt;&gt;"Y"),"No chapter (forfeit?)",IF(AND(D145&lt;&gt;"",I145="Y"),"Forfeit has a chapter",IF(OR(F145="",H145=""),"Missing score",IF(F145=H145,"Tie score",IF(COUNTIFS($A$2:$A$801,A145,$E$2:$E$801,E145)+COUNTIFS($A$2:$A$801,A145,$G$2:$G$801,E145)&gt;1,"Team 1 listed twice this week",IF(COUNTIFS($A$2:$A$801,A145,$E$2:$E$801,G145)+COUNTIFS($A$2:$A$801,A145,$G$2:$G$801,G145)&gt;1,"Team 2 listed twice this week",""))))))))</f>
        <v/>
      </c>
    </row>
    <row r="146">
      <c r="A146" s="11" t="n"/>
      <c r="B146" s="9">
        <f>IF(A146="","",IFERROR(INDEX(Lists!$G$2:$G$7,MATCH(A146,Lists!$F$2:$F$7,0)),"?"))</f>
        <v/>
      </c>
      <c r="C146" s="4" t="n"/>
      <c r="D146" s="4" t="n"/>
      <c r="E146" s="4" t="n"/>
      <c r="F146" s="11" t="n"/>
      <c r="G146" s="4" t="n"/>
      <c r="H146" s="11" t="n"/>
      <c r="I146" s="11" t="n"/>
      <c r="J146" s="9">
        <f>IF(OR(F146="",H146=""),"",IF(F146&gt;H146,E146,IF(H146&gt;F146,G146,"")))</f>
        <v/>
      </c>
      <c r="K146" s="4" t="n"/>
      <c r="L146" s="9">
        <f>IF(COUNTA(A146,C146,D146,E146,F146,G146,H146,I146)=0,"",IF(OR(A146="",C146="",E146="",G146=""),"Missing week/class/team",IF(AND(D146="",I146&lt;&gt;"Y"),"No chapter (forfeit?)",IF(AND(D146&lt;&gt;"",I146="Y"),"Forfeit has a chapter",IF(OR(F146="",H146=""),"Missing score",IF(F146=H146,"Tie score",IF(COUNTIFS($A$2:$A$801,A146,$E$2:$E$801,E146)+COUNTIFS($A$2:$A$801,A146,$G$2:$G$801,E146)&gt;1,"Team 1 listed twice this week",IF(COUNTIFS($A$2:$A$801,A146,$E$2:$E$801,G146)+COUNTIFS($A$2:$A$801,A146,$G$2:$G$801,G146)&gt;1,"Team 2 listed twice this week",""))))))))</f>
        <v/>
      </c>
    </row>
    <row r="147">
      <c r="A147" s="11" t="n"/>
      <c r="B147" s="9">
        <f>IF(A147="","",IFERROR(INDEX(Lists!$G$2:$G$7,MATCH(A147,Lists!$F$2:$F$7,0)),"?"))</f>
        <v/>
      </c>
      <c r="C147" s="4" t="n"/>
      <c r="D147" s="4" t="n"/>
      <c r="E147" s="4" t="n"/>
      <c r="F147" s="11" t="n"/>
      <c r="G147" s="4" t="n"/>
      <c r="H147" s="11" t="n"/>
      <c r="I147" s="11" t="n"/>
      <c r="J147" s="9">
        <f>IF(OR(F147="",H147=""),"",IF(F147&gt;H147,E147,IF(H147&gt;F147,G147,"")))</f>
        <v/>
      </c>
      <c r="K147" s="4" t="n"/>
      <c r="L147" s="9">
        <f>IF(COUNTA(A147,C147,D147,E147,F147,G147,H147,I147)=0,"",IF(OR(A147="",C147="",E147="",G147=""),"Missing week/class/team",IF(AND(D147="",I147&lt;&gt;"Y"),"No chapter (forfeit?)",IF(AND(D147&lt;&gt;"",I147="Y"),"Forfeit has a chapter",IF(OR(F147="",H147=""),"Missing score",IF(F147=H147,"Tie score",IF(COUNTIFS($A$2:$A$801,A147,$E$2:$E$801,E147)+COUNTIFS($A$2:$A$801,A147,$G$2:$G$801,E147)&gt;1,"Team 1 listed twice this week",IF(COUNTIFS($A$2:$A$801,A147,$E$2:$E$801,G147)+COUNTIFS($A$2:$A$801,A147,$G$2:$G$801,G147)&gt;1,"Team 2 listed twice this week",""))))))))</f>
        <v/>
      </c>
    </row>
    <row r="148">
      <c r="A148" s="11" t="n"/>
      <c r="B148" s="9">
        <f>IF(A148="","",IFERROR(INDEX(Lists!$G$2:$G$7,MATCH(A148,Lists!$F$2:$F$7,0)),"?"))</f>
        <v/>
      </c>
      <c r="C148" s="4" t="n"/>
      <c r="D148" s="4" t="n"/>
      <c r="E148" s="4" t="n"/>
      <c r="F148" s="11" t="n"/>
      <c r="G148" s="4" t="n"/>
      <c r="H148" s="11" t="n"/>
      <c r="I148" s="11" t="n"/>
      <c r="J148" s="9">
        <f>IF(OR(F148="",H148=""),"",IF(F148&gt;H148,E148,IF(H148&gt;F148,G148,"")))</f>
        <v/>
      </c>
      <c r="K148" s="4" t="n"/>
      <c r="L148" s="9">
        <f>IF(COUNTA(A148,C148,D148,E148,F148,G148,H148,I148)=0,"",IF(OR(A148="",C148="",E148="",G148=""),"Missing week/class/team",IF(AND(D148="",I148&lt;&gt;"Y"),"No chapter (forfeit?)",IF(AND(D148&lt;&gt;"",I148="Y"),"Forfeit has a chapter",IF(OR(F148="",H148=""),"Missing score",IF(F148=H148,"Tie score",IF(COUNTIFS($A$2:$A$801,A148,$E$2:$E$801,E148)+COUNTIFS($A$2:$A$801,A148,$G$2:$G$801,E148)&gt;1,"Team 1 listed twice this week",IF(COUNTIFS($A$2:$A$801,A148,$E$2:$E$801,G148)+COUNTIFS($A$2:$A$801,A148,$G$2:$G$801,G148)&gt;1,"Team 2 listed twice this week",""))))))))</f>
        <v/>
      </c>
    </row>
    <row r="149">
      <c r="A149" s="11" t="n"/>
      <c r="B149" s="9">
        <f>IF(A149="","",IFERROR(INDEX(Lists!$G$2:$G$7,MATCH(A149,Lists!$F$2:$F$7,0)),"?"))</f>
        <v/>
      </c>
      <c r="C149" s="4" t="n"/>
      <c r="D149" s="4" t="n"/>
      <c r="E149" s="4" t="n"/>
      <c r="F149" s="11" t="n"/>
      <c r="G149" s="4" t="n"/>
      <c r="H149" s="11" t="n"/>
      <c r="I149" s="11" t="n"/>
      <c r="J149" s="9">
        <f>IF(OR(F149="",H149=""),"",IF(F149&gt;H149,E149,IF(H149&gt;F149,G149,"")))</f>
        <v/>
      </c>
      <c r="K149" s="4" t="n"/>
      <c r="L149" s="9">
        <f>IF(COUNTA(A149,C149,D149,E149,F149,G149,H149,I149)=0,"",IF(OR(A149="",C149="",E149="",G149=""),"Missing week/class/team",IF(AND(D149="",I149&lt;&gt;"Y"),"No chapter (forfeit?)",IF(AND(D149&lt;&gt;"",I149="Y"),"Forfeit has a chapter",IF(OR(F149="",H149=""),"Missing score",IF(F149=H149,"Tie score",IF(COUNTIFS($A$2:$A$801,A149,$E$2:$E$801,E149)+COUNTIFS($A$2:$A$801,A149,$G$2:$G$801,E149)&gt;1,"Team 1 listed twice this week",IF(COUNTIFS($A$2:$A$801,A149,$E$2:$E$801,G149)+COUNTIFS($A$2:$A$801,A149,$G$2:$G$801,G149)&gt;1,"Team 2 listed twice this week",""))))))))</f>
        <v/>
      </c>
    </row>
    <row r="150">
      <c r="A150" s="11" t="n"/>
      <c r="B150" s="9">
        <f>IF(A150="","",IFERROR(INDEX(Lists!$G$2:$G$7,MATCH(A150,Lists!$F$2:$F$7,0)),"?"))</f>
        <v/>
      </c>
      <c r="C150" s="4" t="n"/>
      <c r="D150" s="4" t="n"/>
      <c r="E150" s="4" t="n"/>
      <c r="F150" s="11" t="n"/>
      <c r="G150" s="4" t="n"/>
      <c r="H150" s="11" t="n"/>
      <c r="I150" s="11" t="n"/>
      <c r="J150" s="9">
        <f>IF(OR(F150="",H150=""),"",IF(F150&gt;H150,E150,IF(H150&gt;F150,G150,"")))</f>
        <v/>
      </c>
      <c r="K150" s="4" t="n"/>
      <c r="L150" s="9">
        <f>IF(COUNTA(A150,C150,D150,E150,F150,G150,H150,I150)=0,"",IF(OR(A150="",C150="",E150="",G150=""),"Missing week/class/team",IF(AND(D150="",I150&lt;&gt;"Y"),"No chapter (forfeit?)",IF(AND(D150&lt;&gt;"",I150="Y"),"Forfeit has a chapter",IF(OR(F150="",H150=""),"Missing score",IF(F150=H150,"Tie score",IF(COUNTIFS($A$2:$A$801,A150,$E$2:$E$801,E150)+COUNTIFS($A$2:$A$801,A150,$G$2:$G$801,E150)&gt;1,"Team 1 listed twice this week",IF(COUNTIFS($A$2:$A$801,A150,$E$2:$E$801,G150)+COUNTIFS($A$2:$A$801,A150,$G$2:$G$801,G150)&gt;1,"Team 2 listed twice this week",""))))))))</f>
        <v/>
      </c>
    </row>
    <row r="151">
      <c r="A151" s="11" t="n"/>
      <c r="B151" s="9">
        <f>IF(A151="","",IFERROR(INDEX(Lists!$G$2:$G$7,MATCH(A151,Lists!$F$2:$F$7,0)),"?"))</f>
        <v/>
      </c>
      <c r="C151" s="4" t="n"/>
      <c r="D151" s="4" t="n"/>
      <c r="E151" s="4" t="n"/>
      <c r="F151" s="11" t="n"/>
      <c r="G151" s="4" t="n"/>
      <c r="H151" s="11" t="n"/>
      <c r="I151" s="11" t="n"/>
      <c r="J151" s="9">
        <f>IF(OR(F151="",H151=""),"",IF(F151&gt;H151,E151,IF(H151&gt;F151,G151,"")))</f>
        <v/>
      </c>
      <c r="K151" s="4" t="n"/>
      <c r="L151" s="9">
        <f>IF(COUNTA(A151,C151,D151,E151,F151,G151,H151,I151)=0,"",IF(OR(A151="",C151="",E151="",G151=""),"Missing week/class/team",IF(AND(D151="",I151&lt;&gt;"Y"),"No chapter (forfeit?)",IF(AND(D151&lt;&gt;"",I151="Y"),"Forfeit has a chapter",IF(OR(F151="",H151=""),"Missing score",IF(F151=H151,"Tie score",IF(COUNTIFS($A$2:$A$801,A151,$E$2:$E$801,E151)+COUNTIFS($A$2:$A$801,A151,$G$2:$G$801,E151)&gt;1,"Team 1 listed twice this week",IF(COUNTIFS($A$2:$A$801,A151,$E$2:$E$801,G151)+COUNTIFS($A$2:$A$801,A151,$G$2:$G$801,G151)&gt;1,"Team 2 listed twice this week",""))))))))</f>
        <v/>
      </c>
    </row>
    <row r="152">
      <c r="A152" s="11" t="n"/>
      <c r="B152" s="9">
        <f>IF(A152="","",IFERROR(INDEX(Lists!$G$2:$G$7,MATCH(A152,Lists!$F$2:$F$7,0)),"?"))</f>
        <v/>
      </c>
      <c r="C152" s="4" t="n"/>
      <c r="D152" s="4" t="n"/>
      <c r="E152" s="4" t="n"/>
      <c r="F152" s="11" t="n"/>
      <c r="G152" s="4" t="n"/>
      <c r="H152" s="11" t="n"/>
      <c r="I152" s="11" t="n"/>
      <c r="J152" s="9">
        <f>IF(OR(F152="",H152=""),"",IF(F152&gt;H152,E152,IF(H152&gt;F152,G152,"")))</f>
        <v/>
      </c>
      <c r="K152" s="4" t="n"/>
      <c r="L152" s="9">
        <f>IF(COUNTA(A152,C152,D152,E152,F152,G152,H152,I152)=0,"",IF(OR(A152="",C152="",E152="",G152=""),"Missing week/class/team",IF(AND(D152="",I152&lt;&gt;"Y"),"No chapter (forfeit?)",IF(AND(D152&lt;&gt;"",I152="Y"),"Forfeit has a chapter",IF(OR(F152="",H152=""),"Missing score",IF(F152=H152,"Tie score",IF(COUNTIFS($A$2:$A$801,A152,$E$2:$E$801,E152)+COUNTIFS($A$2:$A$801,A152,$G$2:$G$801,E152)&gt;1,"Team 1 listed twice this week",IF(COUNTIFS($A$2:$A$801,A152,$E$2:$E$801,G152)+COUNTIFS($A$2:$A$801,A152,$G$2:$G$801,G152)&gt;1,"Team 2 listed twice this week",""))))))))</f>
        <v/>
      </c>
    </row>
    <row r="153">
      <c r="A153" s="11" t="n"/>
      <c r="B153" s="9">
        <f>IF(A153="","",IFERROR(INDEX(Lists!$G$2:$G$7,MATCH(A153,Lists!$F$2:$F$7,0)),"?"))</f>
        <v/>
      </c>
      <c r="C153" s="4" t="n"/>
      <c r="D153" s="4" t="n"/>
      <c r="E153" s="4" t="n"/>
      <c r="F153" s="11" t="n"/>
      <c r="G153" s="4" t="n"/>
      <c r="H153" s="11" t="n"/>
      <c r="I153" s="11" t="n"/>
      <c r="J153" s="9">
        <f>IF(OR(F153="",H153=""),"",IF(F153&gt;H153,E153,IF(H153&gt;F153,G153,"")))</f>
        <v/>
      </c>
      <c r="K153" s="4" t="n"/>
      <c r="L153" s="9">
        <f>IF(COUNTA(A153,C153,D153,E153,F153,G153,H153,I153)=0,"",IF(OR(A153="",C153="",E153="",G153=""),"Missing week/class/team",IF(AND(D153="",I153&lt;&gt;"Y"),"No chapter (forfeit?)",IF(AND(D153&lt;&gt;"",I153="Y"),"Forfeit has a chapter",IF(OR(F153="",H153=""),"Missing score",IF(F153=H153,"Tie score",IF(COUNTIFS($A$2:$A$801,A153,$E$2:$E$801,E153)+COUNTIFS($A$2:$A$801,A153,$G$2:$G$801,E153)&gt;1,"Team 1 listed twice this week",IF(COUNTIFS($A$2:$A$801,A153,$E$2:$E$801,G153)+COUNTIFS($A$2:$A$801,A153,$G$2:$G$801,G153)&gt;1,"Team 2 listed twice this week",""))))))))</f>
        <v/>
      </c>
    </row>
    <row r="154">
      <c r="A154" s="11" t="n"/>
      <c r="B154" s="9">
        <f>IF(A154="","",IFERROR(INDEX(Lists!$G$2:$G$7,MATCH(A154,Lists!$F$2:$F$7,0)),"?"))</f>
        <v/>
      </c>
      <c r="C154" s="4" t="n"/>
      <c r="D154" s="4" t="n"/>
      <c r="E154" s="4" t="n"/>
      <c r="F154" s="11" t="n"/>
      <c r="G154" s="4" t="n"/>
      <c r="H154" s="11" t="n"/>
      <c r="I154" s="11" t="n"/>
      <c r="J154" s="9">
        <f>IF(OR(F154="",H154=""),"",IF(F154&gt;H154,E154,IF(H154&gt;F154,G154,"")))</f>
        <v/>
      </c>
      <c r="K154" s="4" t="n"/>
      <c r="L154" s="9">
        <f>IF(COUNTA(A154,C154,D154,E154,F154,G154,H154,I154)=0,"",IF(OR(A154="",C154="",E154="",G154=""),"Missing week/class/team",IF(AND(D154="",I154&lt;&gt;"Y"),"No chapter (forfeit?)",IF(AND(D154&lt;&gt;"",I154="Y"),"Forfeit has a chapter",IF(OR(F154="",H154=""),"Missing score",IF(F154=H154,"Tie score",IF(COUNTIFS($A$2:$A$801,A154,$E$2:$E$801,E154)+COUNTIFS($A$2:$A$801,A154,$G$2:$G$801,E154)&gt;1,"Team 1 listed twice this week",IF(COUNTIFS($A$2:$A$801,A154,$E$2:$E$801,G154)+COUNTIFS($A$2:$A$801,A154,$G$2:$G$801,G154)&gt;1,"Team 2 listed twice this week",""))))))))</f>
        <v/>
      </c>
    </row>
    <row r="155">
      <c r="A155" s="11" t="n"/>
      <c r="B155" s="9">
        <f>IF(A155="","",IFERROR(INDEX(Lists!$G$2:$G$7,MATCH(A155,Lists!$F$2:$F$7,0)),"?"))</f>
        <v/>
      </c>
      <c r="C155" s="4" t="n"/>
      <c r="D155" s="4" t="n"/>
      <c r="E155" s="4" t="n"/>
      <c r="F155" s="11" t="n"/>
      <c r="G155" s="4" t="n"/>
      <c r="H155" s="11" t="n"/>
      <c r="I155" s="11" t="n"/>
      <c r="J155" s="9">
        <f>IF(OR(F155="",H155=""),"",IF(F155&gt;H155,E155,IF(H155&gt;F155,G155,"")))</f>
        <v/>
      </c>
      <c r="K155" s="4" t="n"/>
      <c r="L155" s="9">
        <f>IF(COUNTA(A155,C155,D155,E155,F155,G155,H155,I155)=0,"",IF(OR(A155="",C155="",E155="",G155=""),"Missing week/class/team",IF(AND(D155="",I155&lt;&gt;"Y"),"No chapter (forfeit?)",IF(AND(D155&lt;&gt;"",I155="Y"),"Forfeit has a chapter",IF(OR(F155="",H155=""),"Missing score",IF(F155=H155,"Tie score",IF(COUNTIFS($A$2:$A$801,A155,$E$2:$E$801,E155)+COUNTIFS($A$2:$A$801,A155,$G$2:$G$801,E155)&gt;1,"Team 1 listed twice this week",IF(COUNTIFS($A$2:$A$801,A155,$E$2:$E$801,G155)+COUNTIFS($A$2:$A$801,A155,$G$2:$G$801,G155)&gt;1,"Team 2 listed twice this week",""))))))))</f>
        <v/>
      </c>
    </row>
    <row r="156">
      <c r="A156" s="11" t="n"/>
      <c r="B156" s="9">
        <f>IF(A156="","",IFERROR(INDEX(Lists!$G$2:$G$7,MATCH(A156,Lists!$F$2:$F$7,0)),"?"))</f>
        <v/>
      </c>
      <c r="C156" s="4" t="n"/>
      <c r="D156" s="4" t="n"/>
      <c r="E156" s="4" t="n"/>
      <c r="F156" s="11" t="n"/>
      <c r="G156" s="4" t="n"/>
      <c r="H156" s="11" t="n"/>
      <c r="I156" s="11" t="n"/>
      <c r="J156" s="9">
        <f>IF(OR(F156="",H156=""),"",IF(F156&gt;H156,E156,IF(H156&gt;F156,G156,"")))</f>
        <v/>
      </c>
      <c r="K156" s="4" t="n"/>
      <c r="L156" s="9">
        <f>IF(COUNTA(A156,C156,D156,E156,F156,G156,H156,I156)=0,"",IF(OR(A156="",C156="",E156="",G156=""),"Missing week/class/team",IF(AND(D156="",I156&lt;&gt;"Y"),"No chapter (forfeit?)",IF(AND(D156&lt;&gt;"",I156="Y"),"Forfeit has a chapter",IF(OR(F156="",H156=""),"Missing score",IF(F156=H156,"Tie score",IF(COUNTIFS($A$2:$A$801,A156,$E$2:$E$801,E156)+COUNTIFS($A$2:$A$801,A156,$G$2:$G$801,E156)&gt;1,"Team 1 listed twice this week",IF(COUNTIFS($A$2:$A$801,A156,$E$2:$E$801,G156)+COUNTIFS($A$2:$A$801,A156,$G$2:$G$801,G156)&gt;1,"Team 2 listed twice this week",""))))))))</f>
        <v/>
      </c>
    </row>
    <row r="157">
      <c r="A157" s="11" t="n"/>
      <c r="B157" s="9">
        <f>IF(A157="","",IFERROR(INDEX(Lists!$G$2:$G$7,MATCH(A157,Lists!$F$2:$F$7,0)),"?"))</f>
        <v/>
      </c>
      <c r="C157" s="4" t="n"/>
      <c r="D157" s="4" t="n"/>
      <c r="E157" s="4" t="n"/>
      <c r="F157" s="11" t="n"/>
      <c r="G157" s="4" t="n"/>
      <c r="H157" s="11" t="n"/>
      <c r="I157" s="11" t="n"/>
      <c r="J157" s="9">
        <f>IF(OR(F157="",H157=""),"",IF(F157&gt;H157,E157,IF(H157&gt;F157,G157,"")))</f>
        <v/>
      </c>
      <c r="K157" s="4" t="n"/>
      <c r="L157" s="9">
        <f>IF(COUNTA(A157,C157,D157,E157,F157,G157,H157,I157)=0,"",IF(OR(A157="",C157="",E157="",G157=""),"Missing week/class/team",IF(AND(D157="",I157&lt;&gt;"Y"),"No chapter (forfeit?)",IF(AND(D157&lt;&gt;"",I157="Y"),"Forfeit has a chapter",IF(OR(F157="",H157=""),"Missing score",IF(F157=H157,"Tie score",IF(COUNTIFS($A$2:$A$801,A157,$E$2:$E$801,E157)+COUNTIFS($A$2:$A$801,A157,$G$2:$G$801,E157)&gt;1,"Team 1 listed twice this week",IF(COUNTIFS($A$2:$A$801,A157,$E$2:$E$801,G157)+COUNTIFS($A$2:$A$801,A157,$G$2:$G$801,G157)&gt;1,"Team 2 listed twice this week",""))))))))</f>
        <v/>
      </c>
    </row>
    <row r="158">
      <c r="A158" s="11" t="n"/>
      <c r="B158" s="9">
        <f>IF(A158="","",IFERROR(INDEX(Lists!$G$2:$G$7,MATCH(A158,Lists!$F$2:$F$7,0)),"?"))</f>
        <v/>
      </c>
      <c r="C158" s="4" t="n"/>
      <c r="D158" s="4" t="n"/>
      <c r="E158" s="4" t="n"/>
      <c r="F158" s="11" t="n"/>
      <c r="G158" s="4" t="n"/>
      <c r="H158" s="11" t="n"/>
      <c r="I158" s="11" t="n"/>
      <c r="J158" s="9">
        <f>IF(OR(F158="",H158=""),"",IF(F158&gt;H158,E158,IF(H158&gt;F158,G158,"")))</f>
        <v/>
      </c>
      <c r="K158" s="4" t="n"/>
      <c r="L158" s="9">
        <f>IF(COUNTA(A158,C158,D158,E158,F158,G158,H158,I158)=0,"",IF(OR(A158="",C158="",E158="",G158=""),"Missing week/class/team",IF(AND(D158="",I158&lt;&gt;"Y"),"No chapter (forfeit?)",IF(AND(D158&lt;&gt;"",I158="Y"),"Forfeit has a chapter",IF(OR(F158="",H158=""),"Missing score",IF(F158=H158,"Tie score",IF(COUNTIFS($A$2:$A$801,A158,$E$2:$E$801,E158)+COUNTIFS($A$2:$A$801,A158,$G$2:$G$801,E158)&gt;1,"Team 1 listed twice this week",IF(COUNTIFS($A$2:$A$801,A158,$E$2:$E$801,G158)+COUNTIFS($A$2:$A$801,A158,$G$2:$G$801,G158)&gt;1,"Team 2 listed twice this week",""))))))))</f>
        <v/>
      </c>
    </row>
    <row r="159">
      <c r="A159" s="11" t="n"/>
      <c r="B159" s="9">
        <f>IF(A159="","",IFERROR(INDEX(Lists!$G$2:$G$7,MATCH(A159,Lists!$F$2:$F$7,0)),"?"))</f>
        <v/>
      </c>
      <c r="C159" s="4" t="n"/>
      <c r="D159" s="4" t="n"/>
      <c r="E159" s="4" t="n"/>
      <c r="F159" s="11" t="n"/>
      <c r="G159" s="4" t="n"/>
      <c r="H159" s="11" t="n"/>
      <c r="I159" s="11" t="n"/>
      <c r="J159" s="9">
        <f>IF(OR(F159="",H159=""),"",IF(F159&gt;H159,E159,IF(H159&gt;F159,G159,"")))</f>
        <v/>
      </c>
      <c r="K159" s="4" t="n"/>
      <c r="L159" s="9">
        <f>IF(COUNTA(A159,C159,D159,E159,F159,G159,H159,I159)=0,"",IF(OR(A159="",C159="",E159="",G159=""),"Missing week/class/team",IF(AND(D159="",I159&lt;&gt;"Y"),"No chapter (forfeit?)",IF(AND(D159&lt;&gt;"",I159="Y"),"Forfeit has a chapter",IF(OR(F159="",H159=""),"Missing score",IF(F159=H159,"Tie score",IF(COUNTIFS($A$2:$A$801,A159,$E$2:$E$801,E159)+COUNTIFS($A$2:$A$801,A159,$G$2:$G$801,E159)&gt;1,"Team 1 listed twice this week",IF(COUNTIFS($A$2:$A$801,A159,$E$2:$E$801,G159)+COUNTIFS($A$2:$A$801,A159,$G$2:$G$801,G159)&gt;1,"Team 2 listed twice this week",""))))))))</f>
        <v/>
      </c>
    </row>
    <row r="160">
      <c r="A160" s="11" t="n"/>
      <c r="B160" s="9">
        <f>IF(A160="","",IFERROR(INDEX(Lists!$G$2:$G$7,MATCH(A160,Lists!$F$2:$F$7,0)),"?"))</f>
        <v/>
      </c>
      <c r="C160" s="4" t="n"/>
      <c r="D160" s="4" t="n"/>
      <c r="E160" s="4" t="n"/>
      <c r="F160" s="11" t="n"/>
      <c r="G160" s="4" t="n"/>
      <c r="H160" s="11" t="n"/>
      <c r="I160" s="11" t="n"/>
      <c r="J160" s="9">
        <f>IF(OR(F160="",H160=""),"",IF(F160&gt;H160,E160,IF(H160&gt;F160,G160,"")))</f>
        <v/>
      </c>
      <c r="K160" s="4" t="n"/>
      <c r="L160" s="9">
        <f>IF(COUNTA(A160,C160,D160,E160,F160,G160,H160,I160)=0,"",IF(OR(A160="",C160="",E160="",G160=""),"Missing week/class/team",IF(AND(D160="",I160&lt;&gt;"Y"),"No chapter (forfeit?)",IF(AND(D160&lt;&gt;"",I160="Y"),"Forfeit has a chapter",IF(OR(F160="",H160=""),"Missing score",IF(F160=H160,"Tie score",IF(COUNTIFS($A$2:$A$801,A160,$E$2:$E$801,E160)+COUNTIFS($A$2:$A$801,A160,$G$2:$G$801,E160)&gt;1,"Team 1 listed twice this week",IF(COUNTIFS($A$2:$A$801,A160,$E$2:$E$801,G160)+COUNTIFS($A$2:$A$801,A160,$G$2:$G$801,G160)&gt;1,"Team 2 listed twice this week",""))))))))</f>
        <v/>
      </c>
    </row>
    <row r="161">
      <c r="A161" s="11" t="n"/>
      <c r="B161" s="9">
        <f>IF(A161="","",IFERROR(INDEX(Lists!$G$2:$G$7,MATCH(A161,Lists!$F$2:$F$7,0)),"?"))</f>
        <v/>
      </c>
      <c r="C161" s="4" t="n"/>
      <c r="D161" s="4" t="n"/>
      <c r="E161" s="4" t="n"/>
      <c r="F161" s="11" t="n"/>
      <c r="G161" s="4" t="n"/>
      <c r="H161" s="11" t="n"/>
      <c r="I161" s="11" t="n"/>
      <c r="J161" s="9">
        <f>IF(OR(F161="",H161=""),"",IF(F161&gt;H161,E161,IF(H161&gt;F161,G161,"")))</f>
        <v/>
      </c>
      <c r="K161" s="4" t="n"/>
      <c r="L161" s="9">
        <f>IF(COUNTA(A161,C161,D161,E161,F161,G161,H161,I161)=0,"",IF(OR(A161="",C161="",E161="",G161=""),"Missing week/class/team",IF(AND(D161="",I161&lt;&gt;"Y"),"No chapter (forfeit?)",IF(AND(D161&lt;&gt;"",I161="Y"),"Forfeit has a chapter",IF(OR(F161="",H161=""),"Missing score",IF(F161=H161,"Tie score",IF(COUNTIFS($A$2:$A$801,A161,$E$2:$E$801,E161)+COUNTIFS($A$2:$A$801,A161,$G$2:$G$801,E161)&gt;1,"Team 1 listed twice this week",IF(COUNTIFS($A$2:$A$801,A161,$E$2:$E$801,G161)+COUNTIFS($A$2:$A$801,A161,$G$2:$G$801,G161)&gt;1,"Team 2 listed twice this week",""))))))))</f>
        <v/>
      </c>
    </row>
    <row r="162">
      <c r="A162" s="11" t="n"/>
      <c r="B162" s="9">
        <f>IF(A162="","",IFERROR(INDEX(Lists!$G$2:$G$7,MATCH(A162,Lists!$F$2:$F$7,0)),"?"))</f>
        <v/>
      </c>
      <c r="C162" s="4" t="n"/>
      <c r="D162" s="4" t="n"/>
      <c r="E162" s="4" t="n"/>
      <c r="F162" s="11" t="n"/>
      <c r="G162" s="4" t="n"/>
      <c r="H162" s="11" t="n"/>
      <c r="I162" s="11" t="n"/>
      <c r="J162" s="9">
        <f>IF(OR(F162="",H162=""),"",IF(F162&gt;H162,E162,IF(H162&gt;F162,G162,"")))</f>
        <v/>
      </c>
      <c r="K162" s="4" t="n"/>
      <c r="L162" s="9">
        <f>IF(COUNTA(A162,C162,D162,E162,F162,G162,H162,I162)=0,"",IF(OR(A162="",C162="",E162="",G162=""),"Missing week/class/team",IF(AND(D162="",I162&lt;&gt;"Y"),"No chapter (forfeit?)",IF(AND(D162&lt;&gt;"",I162="Y"),"Forfeit has a chapter",IF(OR(F162="",H162=""),"Missing score",IF(F162=H162,"Tie score",IF(COUNTIFS($A$2:$A$801,A162,$E$2:$E$801,E162)+COUNTIFS($A$2:$A$801,A162,$G$2:$G$801,E162)&gt;1,"Team 1 listed twice this week",IF(COUNTIFS($A$2:$A$801,A162,$E$2:$E$801,G162)+COUNTIFS($A$2:$A$801,A162,$G$2:$G$801,G162)&gt;1,"Team 2 listed twice this week",""))))))))</f>
        <v/>
      </c>
    </row>
    <row r="163">
      <c r="A163" s="11" t="n"/>
      <c r="B163" s="9">
        <f>IF(A163="","",IFERROR(INDEX(Lists!$G$2:$G$7,MATCH(A163,Lists!$F$2:$F$7,0)),"?"))</f>
        <v/>
      </c>
      <c r="C163" s="4" t="n"/>
      <c r="D163" s="4" t="n"/>
      <c r="E163" s="4" t="n"/>
      <c r="F163" s="11" t="n"/>
      <c r="G163" s="4" t="n"/>
      <c r="H163" s="11" t="n"/>
      <c r="I163" s="11" t="n"/>
      <c r="J163" s="9">
        <f>IF(OR(F163="",H163=""),"",IF(F163&gt;H163,E163,IF(H163&gt;F163,G163,"")))</f>
        <v/>
      </c>
      <c r="K163" s="4" t="n"/>
      <c r="L163" s="9">
        <f>IF(COUNTA(A163,C163,D163,E163,F163,G163,H163,I163)=0,"",IF(OR(A163="",C163="",E163="",G163=""),"Missing week/class/team",IF(AND(D163="",I163&lt;&gt;"Y"),"No chapter (forfeit?)",IF(AND(D163&lt;&gt;"",I163="Y"),"Forfeit has a chapter",IF(OR(F163="",H163=""),"Missing score",IF(F163=H163,"Tie score",IF(COUNTIFS($A$2:$A$801,A163,$E$2:$E$801,E163)+COUNTIFS($A$2:$A$801,A163,$G$2:$G$801,E163)&gt;1,"Team 1 listed twice this week",IF(COUNTIFS($A$2:$A$801,A163,$E$2:$E$801,G163)+COUNTIFS($A$2:$A$801,A163,$G$2:$G$801,G163)&gt;1,"Team 2 listed twice this week",""))))))))</f>
        <v/>
      </c>
    </row>
    <row r="164">
      <c r="A164" s="11" t="n"/>
      <c r="B164" s="9">
        <f>IF(A164="","",IFERROR(INDEX(Lists!$G$2:$G$7,MATCH(A164,Lists!$F$2:$F$7,0)),"?"))</f>
        <v/>
      </c>
      <c r="C164" s="4" t="n"/>
      <c r="D164" s="4" t="n"/>
      <c r="E164" s="4" t="n"/>
      <c r="F164" s="11" t="n"/>
      <c r="G164" s="4" t="n"/>
      <c r="H164" s="11" t="n"/>
      <c r="I164" s="11" t="n"/>
      <c r="J164" s="9">
        <f>IF(OR(F164="",H164=""),"",IF(F164&gt;H164,E164,IF(H164&gt;F164,G164,"")))</f>
        <v/>
      </c>
      <c r="K164" s="4" t="n"/>
      <c r="L164" s="9">
        <f>IF(COUNTA(A164,C164,D164,E164,F164,G164,H164,I164)=0,"",IF(OR(A164="",C164="",E164="",G164=""),"Missing week/class/team",IF(AND(D164="",I164&lt;&gt;"Y"),"No chapter (forfeit?)",IF(AND(D164&lt;&gt;"",I164="Y"),"Forfeit has a chapter",IF(OR(F164="",H164=""),"Missing score",IF(F164=H164,"Tie score",IF(COUNTIFS($A$2:$A$801,A164,$E$2:$E$801,E164)+COUNTIFS($A$2:$A$801,A164,$G$2:$G$801,E164)&gt;1,"Team 1 listed twice this week",IF(COUNTIFS($A$2:$A$801,A164,$E$2:$E$801,G164)+COUNTIFS($A$2:$A$801,A164,$G$2:$G$801,G164)&gt;1,"Team 2 listed twice this week",""))))))))</f>
        <v/>
      </c>
    </row>
    <row r="165">
      <c r="A165" s="11" t="n"/>
      <c r="B165" s="9">
        <f>IF(A165="","",IFERROR(INDEX(Lists!$G$2:$G$7,MATCH(A165,Lists!$F$2:$F$7,0)),"?"))</f>
        <v/>
      </c>
      <c r="C165" s="4" t="n"/>
      <c r="D165" s="4" t="n"/>
      <c r="E165" s="4" t="n"/>
      <c r="F165" s="11" t="n"/>
      <c r="G165" s="4" t="n"/>
      <c r="H165" s="11" t="n"/>
      <c r="I165" s="11" t="n"/>
      <c r="J165" s="9">
        <f>IF(OR(F165="",H165=""),"",IF(F165&gt;H165,E165,IF(H165&gt;F165,G165,"")))</f>
        <v/>
      </c>
      <c r="K165" s="4" t="n"/>
      <c r="L165" s="9">
        <f>IF(COUNTA(A165,C165,D165,E165,F165,G165,H165,I165)=0,"",IF(OR(A165="",C165="",E165="",G165=""),"Missing week/class/team",IF(AND(D165="",I165&lt;&gt;"Y"),"No chapter (forfeit?)",IF(AND(D165&lt;&gt;"",I165="Y"),"Forfeit has a chapter",IF(OR(F165="",H165=""),"Missing score",IF(F165=H165,"Tie score",IF(COUNTIFS($A$2:$A$801,A165,$E$2:$E$801,E165)+COUNTIFS($A$2:$A$801,A165,$G$2:$G$801,E165)&gt;1,"Team 1 listed twice this week",IF(COUNTIFS($A$2:$A$801,A165,$E$2:$E$801,G165)+COUNTIFS($A$2:$A$801,A165,$G$2:$G$801,G165)&gt;1,"Team 2 listed twice this week",""))))))))</f>
        <v/>
      </c>
    </row>
    <row r="166">
      <c r="A166" s="11" t="n"/>
      <c r="B166" s="9">
        <f>IF(A166="","",IFERROR(INDEX(Lists!$G$2:$G$7,MATCH(A166,Lists!$F$2:$F$7,0)),"?"))</f>
        <v/>
      </c>
      <c r="C166" s="4" t="n"/>
      <c r="D166" s="4" t="n"/>
      <c r="E166" s="4" t="n"/>
      <c r="F166" s="11" t="n"/>
      <c r="G166" s="4" t="n"/>
      <c r="H166" s="11" t="n"/>
      <c r="I166" s="11" t="n"/>
      <c r="J166" s="9">
        <f>IF(OR(F166="",H166=""),"",IF(F166&gt;H166,E166,IF(H166&gt;F166,G166,"")))</f>
        <v/>
      </c>
      <c r="K166" s="4" t="n"/>
      <c r="L166" s="9">
        <f>IF(COUNTA(A166,C166,D166,E166,F166,G166,H166,I166)=0,"",IF(OR(A166="",C166="",E166="",G166=""),"Missing week/class/team",IF(AND(D166="",I166&lt;&gt;"Y"),"No chapter (forfeit?)",IF(AND(D166&lt;&gt;"",I166="Y"),"Forfeit has a chapter",IF(OR(F166="",H166=""),"Missing score",IF(F166=H166,"Tie score",IF(COUNTIFS($A$2:$A$801,A166,$E$2:$E$801,E166)+COUNTIFS($A$2:$A$801,A166,$G$2:$G$801,E166)&gt;1,"Team 1 listed twice this week",IF(COUNTIFS($A$2:$A$801,A166,$E$2:$E$801,G166)+COUNTIFS($A$2:$A$801,A166,$G$2:$G$801,G166)&gt;1,"Team 2 listed twice this week",""))))))))</f>
        <v/>
      </c>
    </row>
    <row r="167">
      <c r="A167" s="11" t="n"/>
      <c r="B167" s="9">
        <f>IF(A167="","",IFERROR(INDEX(Lists!$G$2:$G$7,MATCH(A167,Lists!$F$2:$F$7,0)),"?"))</f>
        <v/>
      </c>
      <c r="C167" s="4" t="n"/>
      <c r="D167" s="4" t="n"/>
      <c r="E167" s="4" t="n"/>
      <c r="F167" s="11" t="n"/>
      <c r="G167" s="4" t="n"/>
      <c r="H167" s="11" t="n"/>
      <c r="I167" s="11" t="n"/>
      <c r="J167" s="9">
        <f>IF(OR(F167="",H167=""),"",IF(F167&gt;H167,E167,IF(H167&gt;F167,G167,"")))</f>
        <v/>
      </c>
      <c r="K167" s="4" t="n"/>
      <c r="L167" s="9">
        <f>IF(COUNTA(A167,C167,D167,E167,F167,G167,H167,I167)=0,"",IF(OR(A167="",C167="",E167="",G167=""),"Missing week/class/team",IF(AND(D167="",I167&lt;&gt;"Y"),"No chapter (forfeit?)",IF(AND(D167&lt;&gt;"",I167="Y"),"Forfeit has a chapter",IF(OR(F167="",H167=""),"Missing score",IF(F167=H167,"Tie score",IF(COUNTIFS($A$2:$A$801,A167,$E$2:$E$801,E167)+COUNTIFS($A$2:$A$801,A167,$G$2:$G$801,E167)&gt;1,"Team 1 listed twice this week",IF(COUNTIFS($A$2:$A$801,A167,$E$2:$E$801,G167)+COUNTIFS($A$2:$A$801,A167,$G$2:$G$801,G167)&gt;1,"Team 2 listed twice this week",""))))))))</f>
        <v/>
      </c>
    </row>
    <row r="168">
      <c r="A168" s="11" t="n"/>
      <c r="B168" s="9">
        <f>IF(A168="","",IFERROR(INDEX(Lists!$G$2:$G$7,MATCH(A168,Lists!$F$2:$F$7,0)),"?"))</f>
        <v/>
      </c>
      <c r="C168" s="4" t="n"/>
      <c r="D168" s="4" t="n"/>
      <c r="E168" s="4" t="n"/>
      <c r="F168" s="11" t="n"/>
      <c r="G168" s="4" t="n"/>
      <c r="H168" s="11" t="n"/>
      <c r="I168" s="11" t="n"/>
      <c r="J168" s="9">
        <f>IF(OR(F168="",H168=""),"",IF(F168&gt;H168,E168,IF(H168&gt;F168,G168,"")))</f>
        <v/>
      </c>
      <c r="K168" s="4" t="n"/>
      <c r="L168" s="9">
        <f>IF(COUNTA(A168,C168,D168,E168,F168,G168,H168,I168)=0,"",IF(OR(A168="",C168="",E168="",G168=""),"Missing week/class/team",IF(AND(D168="",I168&lt;&gt;"Y"),"No chapter (forfeit?)",IF(AND(D168&lt;&gt;"",I168="Y"),"Forfeit has a chapter",IF(OR(F168="",H168=""),"Missing score",IF(F168=H168,"Tie score",IF(COUNTIFS($A$2:$A$801,A168,$E$2:$E$801,E168)+COUNTIFS($A$2:$A$801,A168,$G$2:$G$801,E168)&gt;1,"Team 1 listed twice this week",IF(COUNTIFS($A$2:$A$801,A168,$E$2:$E$801,G168)+COUNTIFS($A$2:$A$801,A168,$G$2:$G$801,G168)&gt;1,"Team 2 listed twice this week",""))))))))</f>
        <v/>
      </c>
    </row>
    <row r="169">
      <c r="A169" s="11" t="n"/>
      <c r="B169" s="9">
        <f>IF(A169="","",IFERROR(INDEX(Lists!$G$2:$G$7,MATCH(A169,Lists!$F$2:$F$7,0)),"?"))</f>
        <v/>
      </c>
      <c r="C169" s="4" t="n"/>
      <c r="D169" s="4" t="n"/>
      <c r="E169" s="4" t="n"/>
      <c r="F169" s="11" t="n"/>
      <c r="G169" s="4" t="n"/>
      <c r="H169" s="11" t="n"/>
      <c r="I169" s="11" t="n"/>
      <c r="J169" s="9">
        <f>IF(OR(F169="",H169=""),"",IF(F169&gt;H169,E169,IF(H169&gt;F169,G169,"")))</f>
        <v/>
      </c>
      <c r="K169" s="4" t="n"/>
      <c r="L169" s="9">
        <f>IF(COUNTA(A169,C169,D169,E169,F169,G169,H169,I169)=0,"",IF(OR(A169="",C169="",E169="",G169=""),"Missing week/class/team",IF(AND(D169="",I169&lt;&gt;"Y"),"No chapter (forfeit?)",IF(AND(D169&lt;&gt;"",I169="Y"),"Forfeit has a chapter",IF(OR(F169="",H169=""),"Missing score",IF(F169=H169,"Tie score",IF(COUNTIFS($A$2:$A$801,A169,$E$2:$E$801,E169)+COUNTIFS($A$2:$A$801,A169,$G$2:$G$801,E169)&gt;1,"Team 1 listed twice this week",IF(COUNTIFS($A$2:$A$801,A169,$E$2:$E$801,G169)+COUNTIFS($A$2:$A$801,A169,$G$2:$G$801,G169)&gt;1,"Team 2 listed twice this week",""))))))))</f>
        <v/>
      </c>
    </row>
    <row r="170">
      <c r="A170" s="11" t="n"/>
      <c r="B170" s="9">
        <f>IF(A170="","",IFERROR(INDEX(Lists!$G$2:$G$7,MATCH(A170,Lists!$F$2:$F$7,0)),"?"))</f>
        <v/>
      </c>
      <c r="C170" s="4" t="n"/>
      <c r="D170" s="4" t="n"/>
      <c r="E170" s="4" t="n"/>
      <c r="F170" s="11" t="n"/>
      <c r="G170" s="4" t="n"/>
      <c r="H170" s="11" t="n"/>
      <c r="I170" s="11" t="n"/>
      <c r="J170" s="9">
        <f>IF(OR(F170="",H170=""),"",IF(F170&gt;H170,E170,IF(H170&gt;F170,G170,"")))</f>
        <v/>
      </c>
      <c r="K170" s="4" t="n"/>
      <c r="L170" s="9">
        <f>IF(COUNTA(A170,C170,D170,E170,F170,G170,H170,I170)=0,"",IF(OR(A170="",C170="",E170="",G170=""),"Missing week/class/team",IF(AND(D170="",I170&lt;&gt;"Y"),"No chapter (forfeit?)",IF(AND(D170&lt;&gt;"",I170="Y"),"Forfeit has a chapter",IF(OR(F170="",H170=""),"Missing score",IF(F170=H170,"Tie score",IF(COUNTIFS($A$2:$A$801,A170,$E$2:$E$801,E170)+COUNTIFS($A$2:$A$801,A170,$G$2:$G$801,E170)&gt;1,"Team 1 listed twice this week",IF(COUNTIFS($A$2:$A$801,A170,$E$2:$E$801,G170)+COUNTIFS($A$2:$A$801,A170,$G$2:$G$801,G170)&gt;1,"Team 2 listed twice this week",""))))))))</f>
        <v/>
      </c>
    </row>
    <row r="171">
      <c r="A171" s="11" t="n"/>
      <c r="B171" s="9">
        <f>IF(A171="","",IFERROR(INDEX(Lists!$G$2:$G$7,MATCH(A171,Lists!$F$2:$F$7,0)),"?"))</f>
        <v/>
      </c>
      <c r="C171" s="4" t="n"/>
      <c r="D171" s="4" t="n"/>
      <c r="E171" s="4" t="n"/>
      <c r="F171" s="11" t="n"/>
      <c r="G171" s="4" t="n"/>
      <c r="H171" s="11" t="n"/>
      <c r="I171" s="11" t="n"/>
      <c r="J171" s="9">
        <f>IF(OR(F171="",H171=""),"",IF(F171&gt;H171,E171,IF(H171&gt;F171,G171,"")))</f>
        <v/>
      </c>
      <c r="K171" s="4" t="n"/>
      <c r="L171" s="9">
        <f>IF(COUNTA(A171,C171,D171,E171,F171,G171,H171,I171)=0,"",IF(OR(A171="",C171="",E171="",G171=""),"Missing week/class/team",IF(AND(D171="",I171&lt;&gt;"Y"),"No chapter (forfeit?)",IF(AND(D171&lt;&gt;"",I171="Y"),"Forfeit has a chapter",IF(OR(F171="",H171=""),"Missing score",IF(F171=H171,"Tie score",IF(COUNTIFS($A$2:$A$801,A171,$E$2:$E$801,E171)+COUNTIFS($A$2:$A$801,A171,$G$2:$G$801,E171)&gt;1,"Team 1 listed twice this week",IF(COUNTIFS($A$2:$A$801,A171,$E$2:$E$801,G171)+COUNTIFS($A$2:$A$801,A171,$G$2:$G$801,G171)&gt;1,"Team 2 listed twice this week",""))))))))</f>
        <v/>
      </c>
    </row>
    <row r="172">
      <c r="A172" s="11" t="n"/>
      <c r="B172" s="9">
        <f>IF(A172="","",IFERROR(INDEX(Lists!$G$2:$G$7,MATCH(A172,Lists!$F$2:$F$7,0)),"?"))</f>
        <v/>
      </c>
      <c r="C172" s="4" t="n"/>
      <c r="D172" s="4" t="n"/>
      <c r="E172" s="4" t="n"/>
      <c r="F172" s="11" t="n"/>
      <c r="G172" s="4" t="n"/>
      <c r="H172" s="11" t="n"/>
      <c r="I172" s="11" t="n"/>
      <c r="J172" s="9">
        <f>IF(OR(F172="",H172=""),"",IF(F172&gt;H172,E172,IF(H172&gt;F172,G172,"")))</f>
        <v/>
      </c>
      <c r="K172" s="4" t="n"/>
      <c r="L172" s="9">
        <f>IF(COUNTA(A172,C172,D172,E172,F172,G172,H172,I172)=0,"",IF(OR(A172="",C172="",E172="",G172=""),"Missing week/class/team",IF(AND(D172="",I172&lt;&gt;"Y"),"No chapter (forfeit?)",IF(AND(D172&lt;&gt;"",I172="Y"),"Forfeit has a chapter",IF(OR(F172="",H172=""),"Missing score",IF(F172=H172,"Tie score",IF(COUNTIFS($A$2:$A$801,A172,$E$2:$E$801,E172)+COUNTIFS($A$2:$A$801,A172,$G$2:$G$801,E172)&gt;1,"Team 1 listed twice this week",IF(COUNTIFS($A$2:$A$801,A172,$E$2:$E$801,G172)+COUNTIFS($A$2:$A$801,A172,$G$2:$G$801,G172)&gt;1,"Team 2 listed twice this week",""))))))))</f>
        <v/>
      </c>
    </row>
    <row r="173">
      <c r="A173" s="11" t="n"/>
      <c r="B173" s="9">
        <f>IF(A173="","",IFERROR(INDEX(Lists!$G$2:$G$7,MATCH(A173,Lists!$F$2:$F$7,0)),"?"))</f>
        <v/>
      </c>
      <c r="C173" s="4" t="n"/>
      <c r="D173" s="4" t="n"/>
      <c r="E173" s="4" t="n"/>
      <c r="F173" s="11" t="n"/>
      <c r="G173" s="4" t="n"/>
      <c r="H173" s="11" t="n"/>
      <c r="I173" s="11" t="n"/>
      <c r="J173" s="9">
        <f>IF(OR(F173="",H173=""),"",IF(F173&gt;H173,E173,IF(H173&gt;F173,G173,"")))</f>
        <v/>
      </c>
      <c r="K173" s="4" t="n"/>
      <c r="L173" s="9">
        <f>IF(COUNTA(A173,C173,D173,E173,F173,G173,H173,I173)=0,"",IF(OR(A173="",C173="",E173="",G173=""),"Missing week/class/team",IF(AND(D173="",I173&lt;&gt;"Y"),"No chapter (forfeit?)",IF(AND(D173&lt;&gt;"",I173="Y"),"Forfeit has a chapter",IF(OR(F173="",H173=""),"Missing score",IF(F173=H173,"Tie score",IF(COUNTIFS($A$2:$A$801,A173,$E$2:$E$801,E173)+COUNTIFS($A$2:$A$801,A173,$G$2:$G$801,E173)&gt;1,"Team 1 listed twice this week",IF(COUNTIFS($A$2:$A$801,A173,$E$2:$E$801,G173)+COUNTIFS($A$2:$A$801,A173,$G$2:$G$801,G173)&gt;1,"Team 2 listed twice this week",""))))))))</f>
        <v/>
      </c>
    </row>
    <row r="174">
      <c r="A174" s="11" t="n"/>
      <c r="B174" s="9">
        <f>IF(A174="","",IFERROR(INDEX(Lists!$G$2:$G$7,MATCH(A174,Lists!$F$2:$F$7,0)),"?"))</f>
        <v/>
      </c>
      <c r="C174" s="4" t="n"/>
      <c r="D174" s="4" t="n"/>
      <c r="E174" s="4" t="n"/>
      <c r="F174" s="11" t="n"/>
      <c r="G174" s="4" t="n"/>
      <c r="H174" s="11" t="n"/>
      <c r="I174" s="11" t="n"/>
      <c r="J174" s="9">
        <f>IF(OR(F174="",H174=""),"",IF(F174&gt;H174,E174,IF(H174&gt;F174,G174,"")))</f>
        <v/>
      </c>
      <c r="K174" s="4" t="n"/>
      <c r="L174" s="9">
        <f>IF(COUNTA(A174,C174,D174,E174,F174,G174,H174,I174)=0,"",IF(OR(A174="",C174="",E174="",G174=""),"Missing week/class/team",IF(AND(D174="",I174&lt;&gt;"Y"),"No chapter (forfeit?)",IF(AND(D174&lt;&gt;"",I174="Y"),"Forfeit has a chapter",IF(OR(F174="",H174=""),"Missing score",IF(F174=H174,"Tie score",IF(COUNTIFS($A$2:$A$801,A174,$E$2:$E$801,E174)+COUNTIFS($A$2:$A$801,A174,$G$2:$G$801,E174)&gt;1,"Team 1 listed twice this week",IF(COUNTIFS($A$2:$A$801,A174,$E$2:$E$801,G174)+COUNTIFS($A$2:$A$801,A174,$G$2:$G$801,G174)&gt;1,"Team 2 listed twice this week",""))))))))</f>
        <v/>
      </c>
    </row>
    <row r="175">
      <c r="A175" s="11" t="n"/>
      <c r="B175" s="9">
        <f>IF(A175="","",IFERROR(INDEX(Lists!$G$2:$G$7,MATCH(A175,Lists!$F$2:$F$7,0)),"?"))</f>
        <v/>
      </c>
      <c r="C175" s="4" t="n"/>
      <c r="D175" s="4" t="n"/>
      <c r="E175" s="4" t="n"/>
      <c r="F175" s="11" t="n"/>
      <c r="G175" s="4" t="n"/>
      <c r="H175" s="11" t="n"/>
      <c r="I175" s="11" t="n"/>
      <c r="J175" s="9">
        <f>IF(OR(F175="",H175=""),"",IF(F175&gt;H175,E175,IF(H175&gt;F175,G175,"")))</f>
        <v/>
      </c>
      <c r="K175" s="4" t="n"/>
      <c r="L175" s="9">
        <f>IF(COUNTA(A175,C175,D175,E175,F175,G175,H175,I175)=0,"",IF(OR(A175="",C175="",E175="",G175=""),"Missing week/class/team",IF(AND(D175="",I175&lt;&gt;"Y"),"No chapter (forfeit?)",IF(AND(D175&lt;&gt;"",I175="Y"),"Forfeit has a chapter",IF(OR(F175="",H175=""),"Missing score",IF(F175=H175,"Tie score",IF(COUNTIFS($A$2:$A$801,A175,$E$2:$E$801,E175)+COUNTIFS($A$2:$A$801,A175,$G$2:$G$801,E175)&gt;1,"Team 1 listed twice this week",IF(COUNTIFS($A$2:$A$801,A175,$E$2:$E$801,G175)+COUNTIFS($A$2:$A$801,A175,$G$2:$G$801,G175)&gt;1,"Team 2 listed twice this week",""))))))))</f>
        <v/>
      </c>
    </row>
    <row r="176">
      <c r="A176" s="11" t="n"/>
      <c r="B176" s="9">
        <f>IF(A176="","",IFERROR(INDEX(Lists!$G$2:$G$7,MATCH(A176,Lists!$F$2:$F$7,0)),"?"))</f>
        <v/>
      </c>
      <c r="C176" s="4" t="n"/>
      <c r="D176" s="4" t="n"/>
      <c r="E176" s="4" t="n"/>
      <c r="F176" s="11" t="n"/>
      <c r="G176" s="4" t="n"/>
      <c r="H176" s="11" t="n"/>
      <c r="I176" s="11" t="n"/>
      <c r="J176" s="9">
        <f>IF(OR(F176="",H176=""),"",IF(F176&gt;H176,E176,IF(H176&gt;F176,G176,"")))</f>
        <v/>
      </c>
      <c r="K176" s="4" t="n"/>
      <c r="L176" s="9">
        <f>IF(COUNTA(A176,C176,D176,E176,F176,G176,H176,I176)=0,"",IF(OR(A176="",C176="",E176="",G176=""),"Missing week/class/team",IF(AND(D176="",I176&lt;&gt;"Y"),"No chapter (forfeit?)",IF(AND(D176&lt;&gt;"",I176="Y"),"Forfeit has a chapter",IF(OR(F176="",H176=""),"Missing score",IF(F176=H176,"Tie score",IF(COUNTIFS($A$2:$A$801,A176,$E$2:$E$801,E176)+COUNTIFS($A$2:$A$801,A176,$G$2:$G$801,E176)&gt;1,"Team 1 listed twice this week",IF(COUNTIFS($A$2:$A$801,A176,$E$2:$E$801,G176)+COUNTIFS($A$2:$A$801,A176,$G$2:$G$801,G176)&gt;1,"Team 2 listed twice this week",""))))))))</f>
        <v/>
      </c>
    </row>
    <row r="177">
      <c r="A177" s="11" t="n"/>
      <c r="B177" s="9">
        <f>IF(A177="","",IFERROR(INDEX(Lists!$G$2:$G$7,MATCH(A177,Lists!$F$2:$F$7,0)),"?"))</f>
        <v/>
      </c>
      <c r="C177" s="4" t="n"/>
      <c r="D177" s="4" t="n"/>
      <c r="E177" s="4" t="n"/>
      <c r="F177" s="11" t="n"/>
      <c r="G177" s="4" t="n"/>
      <c r="H177" s="11" t="n"/>
      <c r="I177" s="11" t="n"/>
      <c r="J177" s="9">
        <f>IF(OR(F177="",H177=""),"",IF(F177&gt;H177,E177,IF(H177&gt;F177,G177,"")))</f>
        <v/>
      </c>
      <c r="K177" s="4" t="n"/>
      <c r="L177" s="9">
        <f>IF(COUNTA(A177,C177,D177,E177,F177,G177,H177,I177)=0,"",IF(OR(A177="",C177="",E177="",G177=""),"Missing week/class/team",IF(AND(D177="",I177&lt;&gt;"Y"),"No chapter (forfeit?)",IF(AND(D177&lt;&gt;"",I177="Y"),"Forfeit has a chapter",IF(OR(F177="",H177=""),"Missing score",IF(F177=H177,"Tie score",IF(COUNTIFS($A$2:$A$801,A177,$E$2:$E$801,E177)+COUNTIFS($A$2:$A$801,A177,$G$2:$G$801,E177)&gt;1,"Team 1 listed twice this week",IF(COUNTIFS($A$2:$A$801,A177,$E$2:$E$801,G177)+COUNTIFS($A$2:$A$801,A177,$G$2:$G$801,G177)&gt;1,"Team 2 listed twice this week",""))))))))</f>
        <v/>
      </c>
    </row>
    <row r="178">
      <c r="A178" s="11" t="n"/>
      <c r="B178" s="9">
        <f>IF(A178="","",IFERROR(INDEX(Lists!$G$2:$G$7,MATCH(A178,Lists!$F$2:$F$7,0)),"?"))</f>
        <v/>
      </c>
      <c r="C178" s="4" t="n"/>
      <c r="D178" s="4" t="n"/>
      <c r="E178" s="4" t="n"/>
      <c r="F178" s="11" t="n"/>
      <c r="G178" s="4" t="n"/>
      <c r="H178" s="11" t="n"/>
      <c r="I178" s="11" t="n"/>
      <c r="J178" s="9">
        <f>IF(OR(F178="",H178=""),"",IF(F178&gt;H178,E178,IF(H178&gt;F178,G178,"")))</f>
        <v/>
      </c>
      <c r="K178" s="4" t="n"/>
      <c r="L178" s="9">
        <f>IF(COUNTA(A178,C178,D178,E178,F178,G178,H178,I178)=0,"",IF(OR(A178="",C178="",E178="",G178=""),"Missing week/class/team",IF(AND(D178="",I178&lt;&gt;"Y"),"No chapter (forfeit?)",IF(AND(D178&lt;&gt;"",I178="Y"),"Forfeit has a chapter",IF(OR(F178="",H178=""),"Missing score",IF(F178=H178,"Tie score",IF(COUNTIFS($A$2:$A$801,A178,$E$2:$E$801,E178)+COUNTIFS($A$2:$A$801,A178,$G$2:$G$801,E178)&gt;1,"Team 1 listed twice this week",IF(COUNTIFS($A$2:$A$801,A178,$E$2:$E$801,G178)+COUNTIFS($A$2:$A$801,A178,$G$2:$G$801,G178)&gt;1,"Team 2 listed twice this week",""))))))))</f>
        <v/>
      </c>
    </row>
    <row r="179">
      <c r="A179" s="11" t="n"/>
      <c r="B179" s="9">
        <f>IF(A179="","",IFERROR(INDEX(Lists!$G$2:$G$7,MATCH(A179,Lists!$F$2:$F$7,0)),"?"))</f>
        <v/>
      </c>
      <c r="C179" s="4" t="n"/>
      <c r="D179" s="4" t="n"/>
      <c r="E179" s="4" t="n"/>
      <c r="F179" s="11" t="n"/>
      <c r="G179" s="4" t="n"/>
      <c r="H179" s="11" t="n"/>
      <c r="I179" s="11" t="n"/>
      <c r="J179" s="9">
        <f>IF(OR(F179="",H179=""),"",IF(F179&gt;H179,E179,IF(H179&gt;F179,G179,"")))</f>
        <v/>
      </c>
      <c r="K179" s="4" t="n"/>
      <c r="L179" s="9">
        <f>IF(COUNTA(A179,C179,D179,E179,F179,G179,H179,I179)=0,"",IF(OR(A179="",C179="",E179="",G179=""),"Missing week/class/team",IF(AND(D179="",I179&lt;&gt;"Y"),"No chapter (forfeit?)",IF(AND(D179&lt;&gt;"",I179="Y"),"Forfeit has a chapter",IF(OR(F179="",H179=""),"Missing score",IF(F179=H179,"Tie score",IF(COUNTIFS($A$2:$A$801,A179,$E$2:$E$801,E179)+COUNTIFS($A$2:$A$801,A179,$G$2:$G$801,E179)&gt;1,"Team 1 listed twice this week",IF(COUNTIFS($A$2:$A$801,A179,$E$2:$E$801,G179)+COUNTIFS($A$2:$A$801,A179,$G$2:$G$801,G179)&gt;1,"Team 2 listed twice this week",""))))))))</f>
        <v/>
      </c>
    </row>
    <row r="180">
      <c r="A180" s="11" t="n"/>
      <c r="B180" s="9">
        <f>IF(A180="","",IFERROR(INDEX(Lists!$G$2:$G$7,MATCH(A180,Lists!$F$2:$F$7,0)),"?"))</f>
        <v/>
      </c>
      <c r="C180" s="4" t="n"/>
      <c r="D180" s="4" t="n"/>
      <c r="E180" s="4" t="n"/>
      <c r="F180" s="11" t="n"/>
      <c r="G180" s="4" t="n"/>
      <c r="H180" s="11" t="n"/>
      <c r="I180" s="11" t="n"/>
      <c r="J180" s="9">
        <f>IF(OR(F180="",H180=""),"",IF(F180&gt;H180,E180,IF(H180&gt;F180,G180,"")))</f>
        <v/>
      </c>
      <c r="K180" s="4" t="n"/>
      <c r="L180" s="9">
        <f>IF(COUNTA(A180,C180,D180,E180,F180,G180,H180,I180)=0,"",IF(OR(A180="",C180="",E180="",G180=""),"Missing week/class/team",IF(AND(D180="",I180&lt;&gt;"Y"),"No chapter (forfeit?)",IF(AND(D180&lt;&gt;"",I180="Y"),"Forfeit has a chapter",IF(OR(F180="",H180=""),"Missing score",IF(F180=H180,"Tie score",IF(COUNTIFS($A$2:$A$801,A180,$E$2:$E$801,E180)+COUNTIFS($A$2:$A$801,A180,$G$2:$G$801,E180)&gt;1,"Team 1 listed twice this week",IF(COUNTIFS($A$2:$A$801,A180,$E$2:$E$801,G180)+COUNTIFS($A$2:$A$801,A180,$G$2:$G$801,G180)&gt;1,"Team 2 listed twice this week",""))))))))</f>
        <v/>
      </c>
    </row>
    <row r="181">
      <c r="A181" s="11" t="n"/>
      <c r="B181" s="9">
        <f>IF(A181="","",IFERROR(INDEX(Lists!$G$2:$G$7,MATCH(A181,Lists!$F$2:$F$7,0)),"?"))</f>
        <v/>
      </c>
      <c r="C181" s="4" t="n"/>
      <c r="D181" s="4" t="n"/>
      <c r="E181" s="4" t="n"/>
      <c r="F181" s="11" t="n"/>
      <c r="G181" s="4" t="n"/>
      <c r="H181" s="11" t="n"/>
      <c r="I181" s="11" t="n"/>
      <c r="J181" s="9">
        <f>IF(OR(F181="",H181=""),"",IF(F181&gt;H181,E181,IF(H181&gt;F181,G181,"")))</f>
        <v/>
      </c>
      <c r="K181" s="4" t="n"/>
      <c r="L181" s="9">
        <f>IF(COUNTA(A181,C181,D181,E181,F181,G181,H181,I181)=0,"",IF(OR(A181="",C181="",E181="",G181=""),"Missing week/class/team",IF(AND(D181="",I181&lt;&gt;"Y"),"No chapter (forfeit?)",IF(AND(D181&lt;&gt;"",I181="Y"),"Forfeit has a chapter",IF(OR(F181="",H181=""),"Missing score",IF(F181=H181,"Tie score",IF(COUNTIFS($A$2:$A$801,A181,$E$2:$E$801,E181)+COUNTIFS($A$2:$A$801,A181,$G$2:$G$801,E181)&gt;1,"Team 1 listed twice this week",IF(COUNTIFS($A$2:$A$801,A181,$E$2:$E$801,G181)+COUNTIFS($A$2:$A$801,A181,$G$2:$G$801,G181)&gt;1,"Team 2 listed twice this week",""))))))))</f>
        <v/>
      </c>
    </row>
    <row r="182">
      <c r="A182" s="11" t="n"/>
      <c r="B182" s="9">
        <f>IF(A182="","",IFERROR(INDEX(Lists!$G$2:$G$7,MATCH(A182,Lists!$F$2:$F$7,0)),"?"))</f>
        <v/>
      </c>
      <c r="C182" s="4" t="n"/>
      <c r="D182" s="4" t="n"/>
      <c r="E182" s="4" t="n"/>
      <c r="F182" s="11" t="n"/>
      <c r="G182" s="4" t="n"/>
      <c r="H182" s="11" t="n"/>
      <c r="I182" s="11" t="n"/>
      <c r="J182" s="9">
        <f>IF(OR(F182="",H182=""),"",IF(F182&gt;H182,E182,IF(H182&gt;F182,G182,"")))</f>
        <v/>
      </c>
      <c r="K182" s="4" t="n"/>
      <c r="L182" s="9">
        <f>IF(COUNTA(A182,C182,D182,E182,F182,G182,H182,I182)=0,"",IF(OR(A182="",C182="",E182="",G182=""),"Missing week/class/team",IF(AND(D182="",I182&lt;&gt;"Y"),"No chapter (forfeit?)",IF(AND(D182&lt;&gt;"",I182="Y"),"Forfeit has a chapter",IF(OR(F182="",H182=""),"Missing score",IF(F182=H182,"Tie score",IF(COUNTIFS($A$2:$A$801,A182,$E$2:$E$801,E182)+COUNTIFS($A$2:$A$801,A182,$G$2:$G$801,E182)&gt;1,"Team 1 listed twice this week",IF(COUNTIFS($A$2:$A$801,A182,$E$2:$E$801,G182)+COUNTIFS($A$2:$A$801,A182,$G$2:$G$801,G182)&gt;1,"Team 2 listed twice this week",""))))))))</f>
        <v/>
      </c>
    </row>
    <row r="183">
      <c r="A183" s="11" t="n"/>
      <c r="B183" s="9">
        <f>IF(A183="","",IFERROR(INDEX(Lists!$G$2:$G$7,MATCH(A183,Lists!$F$2:$F$7,0)),"?"))</f>
        <v/>
      </c>
      <c r="C183" s="4" t="n"/>
      <c r="D183" s="4" t="n"/>
      <c r="E183" s="4" t="n"/>
      <c r="F183" s="11" t="n"/>
      <c r="G183" s="4" t="n"/>
      <c r="H183" s="11" t="n"/>
      <c r="I183" s="11" t="n"/>
      <c r="J183" s="9">
        <f>IF(OR(F183="",H183=""),"",IF(F183&gt;H183,E183,IF(H183&gt;F183,G183,"")))</f>
        <v/>
      </c>
      <c r="K183" s="4" t="n"/>
      <c r="L183" s="9">
        <f>IF(COUNTA(A183,C183,D183,E183,F183,G183,H183,I183)=0,"",IF(OR(A183="",C183="",E183="",G183=""),"Missing week/class/team",IF(AND(D183="",I183&lt;&gt;"Y"),"No chapter (forfeit?)",IF(AND(D183&lt;&gt;"",I183="Y"),"Forfeit has a chapter",IF(OR(F183="",H183=""),"Missing score",IF(F183=H183,"Tie score",IF(COUNTIFS($A$2:$A$801,A183,$E$2:$E$801,E183)+COUNTIFS($A$2:$A$801,A183,$G$2:$G$801,E183)&gt;1,"Team 1 listed twice this week",IF(COUNTIFS($A$2:$A$801,A183,$E$2:$E$801,G183)+COUNTIFS($A$2:$A$801,A183,$G$2:$G$801,G183)&gt;1,"Team 2 listed twice this week",""))))))))</f>
        <v/>
      </c>
    </row>
    <row r="184">
      <c r="A184" s="11" t="n"/>
      <c r="B184" s="9">
        <f>IF(A184="","",IFERROR(INDEX(Lists!$G$2:$G$7,MATCH(A184,Lists!$F$2:$F$7,0)),"?"))</f>
        <v/>
      </c>
      <c r="C184" s="4" t="n"/>
      <c r="D184" s="4" t="n"/>
      <c r="E184" s="4" t="n"/>
      <c r="F184" s="11" t="n"/>
      <c r="G184" s="4" t="n"/>
      <c r="H184" s="11" t="n"/>
      <c r="I184" s="11" t="n"/>
      <c r="J184" s="9">
        <f>IF(OR(F184="",H184=""),"",IF(F184&gt;H184,E184,IF(H184&gt;F184,G184,"")))</f>
        <v/>
      </c>
      <c r="K184" s="4" t="n"/>
      <c r="L184" s="9">
        <f>IF(COUNTA(A184,C184,D184,E184,F184,G184,H184,I184)=0,"",IF(OR(A184="",C184="",E184="",G184=""),"Missing week/class/team",IF(AND(D184="",I184&lt;&gt;"Y"),"No chapter (forfeit?)",IF(AND(D184&lt;&gt;"",I184="Y"),"Forfeit has a chapter",IF(OR(F184="",H184=""),"Missing score",IF(F184=H184,"Tie score",IF(COUNTIFS($A$2:$A$801,A184,$E$2:$E$801,E184)+COUNTIFS($A$2:$A$801,A184,$G$2:$G$801,E184)&gt;1,"Team 1 listed twice this week",IF(COUNTIFS($A$2:$A$801,A184,$E$2:$E$801,G184)+COUNTIFS($A$2:$A$801,A184,$G$2:$G$801,G184)&gt;1,"Team 2 listed twice this week",""))))))))</f>
        <v/>
      </c>
    </row>
    <row r="185">
      <c r="A185" s="11" t="n"/>
      <c r="B185" s="9">
        <f>IF(A185="","",IFERROR(INDEX(Lists!$G$2:$G$7,MATCH(A185,Lists!$F$2:$F$7,0)),"?"))</f>
        <v/>
      </c>
      <c r="C185" s="4" t="n"/>
      <c r="D185" s="4" t="n"/>
      <c r="E185" s="4" t="n"/>
      <c r="F185" s="11" t="n"/>
      <c r="G185" s="4" t="n"/>
      <c r="H185" s="11" t="n"/>
      <c r="I185" s="11" t="n"/>
      <c r="J185" s="9">
        <f>IF(OR(F185="",H185=""),"",IF(F185&gt;H185,E185,IF(H185&gt;F185,G185,"")))</f>
        <v/>
      </c>
      <c r="K185" s="4" t="n"/>
      <c r="L185" s="9">
        <f>IF(COUNTA(A185,C185,D185,E185,F185,G185,H185,I185)=0,"",IF(OR(A185="",C185="",E185="",G185=""),"Missing week/class/team",IF(AND(D185="",I185&lt;&gt;"Y"),"No chapter (forfeit?)",IF(AND(D185&lt;&gt;"",I185="Y"),"Forfeit has a chapter",IF(OR(F185="",H185=""),"Missing score",IF(F185=H185,"Tie score",IF(COUNTIFS($A$2:$A$801,A185,$E$2:$E$801,E185)+COUNTIFS($A$2:$A$801,A185,$G$2:$G$801,E185)&gt;1,"Team 1 listed twice this week",IF(COUNTIFS($A$2:$A$801,A185,$E$2:$E$801,G185)+COUNTIFS($A$2:$A$801,A185,$G$2:$G$801,G185)&gt;1,"Team 2 listed twice this week",""))))))))</f>
        <v/>
      </c>
    </row>
    <row r="186">
      <c r="A186" s="11" t="n"/>
      <c r="B186" s="9">
        <f>IF(A186="","",IFERROR(INDEX(Lists!$G$2:$G$7,MATCH(A186,Lists!$F$2:$F$7,0)),"?"))</f>
        <v/>
      </c>
      <c r="C186" s="4" t="n"/>
      <c r="D186" s="4" t="n"/>
      <c r="E186" s="4" t="n"/>
      <c r="F186" s="11" t="n"/>
      <c r="G186" s="4" t="n"/>
      <c r="H186" s="11" t="n"/>
      <c r="I186" s="11" t="n"/>
      <c r="J186" s="9">
        <f>IF(OR(F186="",H186=""),"",IF(F186&gt;H186,E186,IF(H186&gt;F186,G186,"")))</f>
        <v/>
      </c>
      <c r="K186" s="4" t="n"/>
      <c r="L186" s="9">
        <f>IF(COUNTA(A186,C186,D186,E186,F186,G186,H186,I186)=0,"",IF(OR(A186="",C186="",E186="",G186=""),"Missing week/class/team",IF(AND(D186="",I186&lt;&gt;"Y"),"No chapter (forfeit?)",IF(AND(D186&lt;&gt;"",I186="Y"),"Forfeit has a chapter",IF(OR(F186="",H186=""),"Missing score",IF(F186=H186,"Tie score",IF(COUNTIFS($A$2:$A$801,A186,$E$2:$E$801,E186)+COUNTIFS($A$2:$A$801,A186,$G$2:$G$801,E186)&gt;1,"Team 1 listed twice this week",IF(COUNTIFS($A$2:$A$801,A186,$E$2:$E$801,G186)+COUNTIFS($A$2:$A$801,A186,$G$2:$G$801,G186)&gt;1,"Team 2 listed twice this week",""))))))))</f>
        <v/>
      </c>
    </row>
    <row r="187">
      <c r="A187" s="11" t="n"/>
      <c r="B187" s="9">
        <f>IF(A187="","",IFERROR(INDEX(Lists!$G$2:$G$7,MATCH(A187,Lists!$F$2:$F$7,0)),"?"))</f>
        <v/>
      </c>
      <c r="C187" s="4" t="n"/>
      <c r="D187" s="4" t="n"/>
      <c r="E187" s="4" t="n"/>
      <c r="F187" s="11" t="n"/>
      <c r="G187" s="4" t="n"/>
      <c r="H187" s="11" t="n"/>
      <c r="I187" s="11" t="n"/>
      <c r="J187" s="9">
        <f>IF(OR(F187="",H187=""),"",IF(F187&gt;H187,E187,IF(H187&gt;F187,G187,"")))</f>
        <v/>
      </c>
      <c r="K187" s="4" t="n"/>
      <c r="L187" s="9">
        <f>IF(COUNTA(A187,C187,D187,E187,F187,G187,H187,I187)=0,"",IF(OR(A187="",C187="",E187="",G187=""),"Missing week/class/team",IF(AND(D187="",I187&lt;&gt;"Y"),"No chapter (forfeit?)",IF(AND(D187&lt;&gt;"",I187="Y"),"Forfeit has a chapter",IF(OR(F187="",H187=""),"Missing score",IF(F187=H187,"Tie score",IF(COUNTIFS($A$2:$A$801,A187,$E$2:$E$801,E187)+COUNTIFS($A$2:$A$801,A187,$G$2:$G$801,E187)&gt;1,"Team 1 listed twice this week",IF(COUNTIFS($A$2:$A$801,A187,$E$2:$E$801,G187)+COUNTIFS($A$2:$A$801,A187,$G$2:$G$801,G187)&gt;1,"Team 2 listed twice this week",""))))))))</f>
        <v/>
      </c>
    </row>
    <row r="188">
      <c r="A188" s="11" t="n"/>
      <c r="B188" s="9">
        <f>IF(A188="","",IFERROR(INDEX(Lists!$G$2:$G$7,MATCH(A188,Lists!$F$2:$F$7,0)),"?"))</f>
        <v/>
      </c>
      <c r="C188" s="4" t="n"/>
      <c r="D188" s="4" t="n"/>
      <c r="E188" s="4" t="n"/>
      <c r="F188" s="11" t="n"/>
      <c r="G188" s="4" t="n"/>
      <c r="H188" s="11" t="n"/>
      <c r="I188" s="11" t="n"/>
      <c r="J188" s="9">
        <f>IF(OR(F188="",H188=""),"",IF(F188&gt;H188,E188,IF(H188&gt;F188,G188,"")))</f>
        <v/>
      </c>
      <c r="K188" s="4" t="n"/>
      <c r="L188" s="9">
        <f>IF(COUNTA(A188,C188,D188,E188,F188,G188,H188,I188)=0,"",IF(OR(A188="",C188="",E188="",G188=""),"Missing week/class/team",IF(AND(D188="",I188&lt;&gt;"Y"),"No chapter (forfeit?)",IF(AND(D188&lt;&gt;"",I188="Y"),"Forfeit has a chapter",IF(OR(F188="",H188=""),"Missing score",IF(F188=H188,"Tie score",IF(COUNTIFS($A$2:$A$801,A188,$E$2:$E$801,E188)+COUNTIFS($A$2:$A$801,A188,$G$2:$G$801,E188)&gt;1,"Team 1 listed twice this week",IF(COUNTIFS($A$2:$A$801,A188,$E$2:$E$801,G188)+COUNTIFS($A$2:$A$801,A188,$G$2:$G$801,G188)&gt;1,"Team 2 listed twice this week",""))))))))</f>
        <v/>
      </c>
    </row>
    <row r="189">
      <c r="A189" s="11" t="n"/>
      <c r="B189" s="9">
        <f>IF(A189="","",IFERROR(INDEX(Lists!$G$2:$G$7,MATCH(A189,Lists!$F$2:$F$7,0)),"?"))</f>
        <v/>
      </c>
      <c r="C189" s="4" t="n"/>
      <c r="D189" s="4" t="n"/>
      <c r="E189" s="4" t="n"/>
      <c r="F189" s="11" t="n"/>
      <c r="G189" s="4" t="n"/>
      <c r="H189" s="11" t="n"/>
      <c r="I189" s="11" t="n"/>
      <c r="J189" s="9">
        <f>IF(OR(F189="",H189=""),"",IF(F189&gt;H189,E189,IF(H189&gt;F189,G189,"")))</f>
        <v/>
      </c>
      <c r="K189" s="4" t="n"/>
      <c r="L189" s="9">
        <f>IF(COUNTA(A189,C189,D189,E189,F189,G189,H189,I189)=0,"",IF(OR(A189="",C189="",E189="",G189=""),"Missing week/class/team",IF(AND(D189="",I189&lt;&gt;"Y"),"No chapter (forfeit?)",IF(AND(D189&lt;&gt;"",I189="Y"),"Forfeit has a chapter",IF(OR(F189="",H189=""),"Missing score",IF(F189=H189,"Tie score",IF(COUNTIFS($A$2:$A$801,A189,$E$2:$E$801,E189)+COUNTIFS($A$2:$A$801,A189,$G$2:$G$801,E189)&gt;1,"Team 1 listed twice this week",IF(COUNTIFS($A$2:$A$801,A189,$E$2:$E$801,G189)+COUNTIFS($A$2:$A$801,A189,$G$2:$G$801,G189)&gt;1,"Team 2 listed twice this week",""))))))))</f>
        <v/>
      </c>
    </row>
    <row r="190">
      <c r="A190" s="11" t="n"/>
      <c r="B190" s="9">
        <f>IF(A190="","",IFERROR(INDEX(Lists!$G$2:$G$7,MATCH(A190,Lists!$F$2:$F$7,0)),"?"))</f>
        <v/>
      </c>
      <c r="C190" s="4" t="n"/>
      <c r="D190" s="4" t="n"/>
      <c r="E190" s="4" t="n"/>
      <c r="F190" s="11" t="n"/>
      <c r="G190" s="4" t="n"/>
      <c r="H190" s="11" t="n"/>
      <c r="I190" s="11" t="n"/>
      <c r="J190" s="9">
        <f>IF(OR(F190="",H190=""),"",IF(F190&gt;H190,E190,IF(H190&gt;F190,G190,"")))</f>
        <v/>
      </c>
      <c r="K190" s="4" t="n"/>
      <c r="L190" s="9">
        <f>IF(COUNTA(A190,C190,D190,E190,F190,G190,H190,I190)=0,"",IF(OR(A190="",C190="",E190="",G190=""),"Missing week/class/team",IF(AND(D190="",I190&lt;&gt;"Y"),"No chapter (forfeit?)",IF(AND(D190&lt;&gt;"",I190="Y"),"Forfeit has a chapter",IF(OR(F190="",H190=""),"Missing score",IF(F190=H190,"Tie score",IF(COUNTIFS($A$2:$A$801,A190,$E$2:$E$801,E190)+COUNTIFS($A$2:$A$801,A190,$G$2:$G$801,E190)&gt;1,"Team 1 listed twice this week",IF(COUNTIFS($A$2:$A$801,A190,$E$2:$E$801,G190)+COUNTIFS($A$2:$A$801,A190,$G$2:$G$801,G190)&gt;1,"Team 2 listed twice this week",""))))))))</f>
        <v/>
      </c>
    </row>
    <row r="191">
      <c r="A191" s="11" t="n"/>
      <c r="B191" s="9">
        <f>IF(A191="","",IFERROR(INDEX(Lists!$G$2:$G$7,MATCH(A191,Lists!$F$2:$F$7,0)),"?"))</f>
        <v/>
      </c>
      <c r="C191" s="4" t="n"/>
      <c r="D191" s="4" t="n"/>
      <c r="E191" s="4" t="n"/>
      <c r="F191" s="11" t="n"/>
      <c r="G191" s="4" t="n"/>
      <c r="H191" s="11" t="n"/>
      <c r="I191" s="11" t="n"/>
      <c r="J191" s="9">
        <f>IF(OR(F191="",H191=""),"",IF(F191&gt;H191,E191,IF(H191&gt;F191,G191,"")))</f>
        <v/>
      </c>
      <c r="K191" s="4" t="n"/>
      <c r="L191" s="9">
        <f>IF(COUNTA(A191,C191,D191,E191,F191,G191,H191,I191)=0,"",IF(OR(A191="",C191="",E191="",G191=""),"Missing week/class/team",IF(AND(D191="",I191&lt;&gt;"Y"),"No chapter (forfeit?)",IF(AND(D191&lt;&gt;"",I191="Y"),"Forfeit has a chapter",IF(OR(F191="",H191=""),"Missing score",IF(F191=H191,"Tie score",IF(COUNTIFS($A$2:$A$801,A191,$E$2:$E$801,E191)+COUNTIFS($A$2:$A$801,A191,$G$2:$G$801,E191)&gt;1,"Team 1 listed twice this week",IF(COUNTIFS($A$2:$A$801,A191,$E$2:$E$801,G191)+COUNTIFS($A$2:$A$801,A191,$G$2:$G$801,G191)&gt;1,"Team 2 listed twice this week",""))))))))</f>
        <v/>
      </c>
    </row>
    <row r="192">
      <c r="A192" s="11" t="n"/>
      <c r="B192" s="9">
        <f>IF(A192="","",IFERROR(INDEX(Lists!$G$2:$G$7,MATCH(A192,Lists!$F$2:$F$7,0)),"?"))</f>
        <v/>
      </c>
      <c r="C192" s="4" t="n"/>
      <c r="D192" s="4" t="n"/>
      <c r="E192" s="4" t="n"/>
      <c r="F192" s="11" t="n"/>
      <c r="G192" s="4" t="n"/>
      <c r="H192" s="11" t="n"/>
      <c r="I192" s="11" t="n"/>
      <c r="J192" s="9">
        <f>IF(OR(F192="",H192=""),"",IF(F192&gt;H192,E192,IF(H192&gt;F192,G192,"")))</f>
        <v/>
      </c>
      <c r="K192" s="4" t="n"/>
      <c r="L192" s="9">
        <f>IF(COUNTA(A192,C192,D192,E192,F192,G192,H192,I192)=0,"",IF(OR(A192="",C192="",E192="",G192=""),"Missing week/class/team",IF(AND(D192="",I192&lt;&gt;"Y"),"No chapter (forfeit?)",IF(AND(D192&lt;&gt;"",I192="Y"),"Forfeit has a chapter",IF(OR(F192="",H192=""),"Missing score",IF(F192=H192,"Tie score",IF(COUNTIFS($A$2:$A$801,A192,$E$2:$E$801,E192)+COUNTIFS($A$2:$A$801,A192,$G$2:$G$801,E192)&gt;1,"Team 1 listed twice this week",IF(COUNTIFS($A$2:$A$801,A192,$E$2:$E$801,G192)+COUNTIFS($A$2:$A$801,A192,$G$2:$G$801,G192)&gt;1,"Team 2 listed twice this week",""))))))))</f>
        <v/>
      </c>
    </row>
    <row r="193">
      <c r="A193" s="11" t="n"/>
      <c r="B193" s="9">
        <f>IF(A193="","",IFERROR(INDEX(Lists!$G$2:$G$7,MATCH(A193,Lists!$F$2:$F$7,0)),"?"))</f>
        <v/>
      </c>
      <c r="C193" s="4" t="n"/>
      <c r="D193" s="4" t="n"/>
      <c r="E193" s="4" t="n"/>
      <c r="F193" s="11" t="n"/>
      <c r="G193" s="4" t="n"/>
      <c r="H193" s="11" t="n"/>
      <c r="I193" s="11" t="n"/>
      <c r="J193" s="9">
        <f>IF(OR(F193="",H193=""),"",IF(F193&gt;H193,E193,IF(H193&gt;F193,G193,"")))</f>
        <v/>
      </c>
      <c r="K193" s="4" t="n"/>
      <c r="L193" s="9">
        <f>IF(COUNTA(A193,C193,D193,E193,F193,G193,H193,I193)=0,"",IF(OR(A193="",C193="",E193="",G193=""),"Missing week/class/team",IF(AND(D193="",I193&lt;&gt;"Y"),"No chapter (forfeit?)",IF(AND(D193&lt;&gt;"",I193="Y"),"Forfeit has a chapter",IF(OR(F193="",H193=""),"Missing score",IF(F193=H193,"Tie score",IF(COUNTIFS($A$2:$A$801,A193,$E$2:$E$801,E193)+COUNTIFS($A$2:$A$801,A193,$G$2:$G$801,E193)&gt;1,"Team 1 listed twice this week",IF(COUNTIFS($A$2:$A$801,A193,$E$2:$E$801,G193)+COUNTIFS($A$2:$A$801,A193,$G$2:$G$801,G193)&gt;1,"Team 2 listed twice this week",""))))))))</f>
        <v/>
      </c>
    </row>
    <row r="194">
      <c r="A194" s="11" t="n"/>
      <c r="B194" s="9">
        <f>IF(A194="","",IFERROR(INDEX(Lists!$G$2:$G$7,MATCH(A194,Lists!$F$2:$F$7,0)),"?"))</f>
        <v/>
      </c>
      <c r="C194" s="4" t="n"/>
      <c r="D194" s="4" t="n"/>
      <c r="E194" s="4" t="n"/>
      <c r="F194" s="11" t="n"/>
      <c r="G194" s="4" t="n"/>
      <c r="H194" s="11" t="n"/>
      <c r="I194" s="11" t="n"/>
      <c r="J194" s="9">
        <f>IF(OR(F194="",H194=""),"",IF(F194&gt;H194,E194,IF(H194&gt;F194,G194,"")))</f>
        <v/>
      </c>
      <c r="K194" s="4" t="n"/>
      <c r="L194" s="9">
        <f>IF(COUNTA(A194,C194,D194,E194,F194,G194,H194,I194)=0,"",IF(OR(A194="",C194="",E194="",G194=""),"Missing week/class/team",IF(AND(D194="",I194&lt;&gt;"Y"),"No chapter (forfeit?)",IF(AND(D194&lt;&gt;"",I194="Y"),"Forfeit has a chapter",IF(OR(F194="",H194=""),"Missing score",IF(F194=H194,"Tie score",IF(COUNTIFS($A$2:$A$801,A194,$E$2:$E$801,E194)+COUNTIFS($A$2:$A$801,A194,$G$2:$G$801,E194)&gt;1,"Team 1 listed twice this week",IF(COUNTIFS($A$2:$A$801,A194,$E$2:$E$801,G194)+COUNTIFS($A$2:$A$801,A194,$G$2:$G$801,G194)&gt;1,"Team 2 listed twice this week",""))))))))</f>
        <v/>
      </c>
    </row>
    <row r="195">
      <c r="A195" s="11" t="n"/>
      <c r="B195" s="9">
        <f>IF(A195="","",IFERROR(INDEX(Lists!$G$2:$G$7,MATCH(A195,Lists!$F$2:$F$7,0)),"?"))</f>
        <v/>
      </c>
      <c r="C195" s="4" t="n"/>
      <c r="D195" s="4" t="n"/>
      <c r="E195" s="4" t="n"/>
      <c r="F195" s="11" t="n"/>
      <c r="G195" s="4" t="n"/>
      <c r="H195" s="11" t="n"/>
      <c r="I195" s="11" t="n"/>
      <c r="J195" s="9">
        <f>IF(OR(F195="",H195=""),"",IF(F195&gt;H195,E195,IF(H195&gt;F195,G195,"")))</f>
        <v/>
      </c>
      <c r="K195" s="4" t="n"/>
      <c r="L195" s="9">
        <f>IF(COUNTA(A195,C195,D195,E195,F195,G195,H195,I195)=0,"",IF(OR(A195="",C195="",E195="",G195=""),"Missing week/class/team",IF(AND(D195="",I195&lt;&gt;"Y"),"No chapter (forfeit?)",IF(AND(D195&lt;&gt;"",I195="Y"),"Forfeit has a chapter",IF(OR(F195="",H195=""),"Missing score",IF(F195=H195,"Tie score",IF(COUNTIFS($A$2:$A$801,A195,$E$2:$E$801,E195)+COUNTIFS($A$2:$A$801,A195,$G$2:$G$801,E195)&gt;1,"Team 1 listed twice this week",IF(COUNTIFS($A$2:$A$801,A195,$E$2:$E$801,G195)+COUNTIFS($A$2:$A$801,A195,$G$2:$G$801,G195)&gt;1,"Team 2 listed twice this week",""))))))))</f>
        <v/>
      </c>
    </row>
    <row r="196">
      <c r="A196" s="11" t="n"/>
      <c r="B196" s="9">
        <f>IF(A196="","",IFERROR(INDEX(Lists!$G$2:$G$7,MATCH(A196,Lists!$F$2:$F$7,0)),"?"))</f>
        <v/>
      </c>
      <c r="C196" s="4" t="n"/>
      <c r="D196" s="4" t="n"/>
      <c r="E196" s="4" t="n"/>
      <c r="F196" s="11" t="n"/>
      <c r="G196" s="4" t="n"/>
      <c r="H196" s="11" t="n"/>
      <c r="I196" s="11" t="n"/>
      <c r="J196" s="9">
        <f>IF(OR(F196="",H196=""),"",IF(F196&gt;H196,E196,IF(H196&gt;F196,G196,"")))</f>
        <v/>
      </c>
      <c r="K196" s="4" t="n"/>
      <c r="L196" s="9">
        <f>IF(COUNTA(A196,C196,D196,E196,F196,G196,H196,I196)=0,"",IF(OR(A196="",C196="",E196="",G196=""),"Missing week/class/team",IF(AND(D196="",I196&lt;&gt;"Y"),"No chapter (forfeit?)",IF(AND(D196&lt;&gt;"",I196="Y"),"Forfeit has a chapter",IF(OR(F196="",H196=""),"Missing score",IF(F196=H196,"Tie score",IF(COUNTIFS($A$2:$A$801,A196,$E$2:$E$801,E196)+COUNTIFS($A$2:$A$801,A196,$G$2:$G$801,E196)&gt;1,"Team 1 listed twice this week",IF(COUNTIFS($A$2:$A$801,A196,$E$2:$E$801,G196)+COUNTIFS($A$2:$A$801,A196,$G$2:$G$801,G196)&gt;1,"Team 2 listed twice this week",""))))))))</f>
        <v/>
      </c>
    </row>
    <row r="197">
      <c r="A197" s="11" t="n"/>
      <c r="B197" s="9">
        <f>IF(A197="","",IFERROR(INDEX(Lists!$G$2:$G$7,MATCH(A197,Lists!$F$2:$F$7,0)),"?"))</f>
        <v/>
      </c>
      <c r="C197" s="4" t="n"/>
      <c r="D197" s="4" t="n"/>
      <c r="E197" s="4" t="n"/>
      <c r="F197" s="11" t="n"/>
      <c r="G197" s="4" t="n"/>
      <c r="H197" s="11" t="n"/>
      <c r="I197" s="11" t="n"/>
      <c r="J197" s="9">
        <f>IF(OR(F197="",H197=""),"",IF(F197&gt;H197,E197,IF(H197&gt;F197,G197,"")))</f>
        <v/>
      </c>
      <c r="K197" s="4" t="n"/>
      <c r="L197" s="9">
        <f>IF(COUNTA(A197,C197,D197,E197,F197,G197,H197,I197)=0,"",IF(OR(A197="",C197="",E197="",G197=""),"Missing week/class/team",IF(AND(D197="",I197&lt;&gt;"Y"),"No chapter (forfeit?)",IF(AND(D197&lt;&gt;"",I197="Y"),"Forfeit has a chapter",IF(OR(F197="",H197=""),"Missing score",IF(F197=H197,"Tie score",IF(COUNTIFS($A$2:$A$801,A197,$E$2:$E$801,E197)+COUNTIFS($A$2:$A$801,A197,$G$2:$G$801,E197)&gt;1,"Team 1 listed twice this week",IF(COUNTIFS($A$2:$A$801,A197,$E$2:$E$801,G197)+COUNTIFS($A$2:$A$801,A197,$G$2:$G$801,G197)&gt;1,"Team 2 listed twice this week",""))))))))</f>
        <v/>
      </c>
    </row>
    <row r="198">
      <c r="A198" s="11" t="n"/>
      <c r="B198" s="9">
        <f>IF(A198="","",IFERROR(INDEX(Lists!$G$2:$G$7,MATCH(A198,Lists!$F$2:$F$7,0)),"?"))</f>
        <v/>
      </c>
      <c r="C198" s="4" t="n"/>
      <c r="D198" s="4" t="n"/>
      <c r="E198" s="4" t="n"/>
      <c r="F198" s="11" t="n"/>
      <c r="G198" s="4" t="n"/>
      <c r="H198" s="11" t="n"/>
      <c r="I198" s="11" t="n"/>
      <c r="J198" s="9">
        <f>IF(OR(F198="",H198=""),"",IF(F198&gt;H198,E198,IF(H198&gt;F198,G198,"")))</f>
        <v/>
      </c>
      <c r="K198" s="4" t="n"/>
      <c r="L198" s="9">
        <f>IF(COUNTA(A198,C198,D198,E198,F198,G198,H198,I198)=0,"",IF(OR(A198="",C198="",E198="",G198=""),"Missing week/class/team",IF(AND(D198="",I198&lt;&gt;"Y"),"No chapter (forfeit?)",IF(AND(D198&lt;&gt;"",I198="Y"),"Forfeit has a chapter",IF(OR(F198="",H198=""),"Missing score",IF(F198=H198,"Tie score",IF(COUNTIFS($A$2:$A$801,A198,$E$2:$E$801,E198)+COUNTIFS($A$2:$A$801,A198,$G$2:$G$801,E198)&gt;1,"Team 1 listed twice this week",IF(COUNTIFS($A$2:$A$801,A198,$E$2:$E$801,G198)+COUNTIFS($A$2:$A$801,A198,$G$2:$G$801,G198)&gt;1,"Team 2 listed twice this week",""))))))))</f>
        <v/>
      </c>
    </row>
    <row r="199">
      <c r="A199" s="11" t="n"/>
      <c r="B199" s="9">
        <f>IF(A199="","",IFERROR(INDEX(Lists!$G$2:$G$7,MATCH(A199,Lists!$F$2:$F$7,0)),"?"))</f>
        <v/>
      </c>
      <c r="C199" s="4" t="n"/>
      <c r="D199" s="4" t="n"/>
      <c r="E199" s="4" t="n"/>
      <c r="F199" s="11" t="n"/>
      <c r="G199" s="4" t="n"/>
      <c r="H199" s="11" t="n"/>
      <c r="I199" s="11" t="n"/>
      <c r="J199" s="9">
        <f>IF(OR(F199="",H199=""),"",IF(F199&gt;H199,E199,IF(H199&gt;F199,G199,"")))</f>
        <v/>
      </c>
      <c r="K199" s="4" t="n"/>
      <c r="L199" s="9">
        <f>IF(COUNTA(A199,C199,D199,E199,F199,G199,H199,I199)=0,"",IF(OR(A199="",C199="",E199="",G199=""),"Missing week/class/team",IF(AND(D199="",I199&lt;&gt;"Y"),"No chapter (forfeit?)",IF(AND(D199&lt;&gt;"",I199="Y"),"Forfeit has a chapter",IF(OR(F199="",H199=""),"Missing score",IF(F199=H199,"Tie score",IF(COUNTIFS($A$2:$A$801,A199,$E$2:$E$801,E199)+COUNTIFS($A$2:$A$801,A199,$G$2:$G$801,E199)&gt;1,"Team 1 listed twice this week",IF(COUNTIFS($A$2:$A$801,A199,$E$2:$E$801,G199)+COUNTIFS($A$2:$A$801,A199,$G$2:$G$801,G199)&gt;1,"Team 2 listed twice this week",""))))))))</f>
        <v/>
      </c>
    </row>
    <row r="200">
      <c r="A200" s="11" t="n"/>
      <c r="B200" s="9">
        <f>IF(A200="","",IFERROR(INDEX(Lists!$G$2:$G$7,MATCH(A200,Lists!$F$2:$F$7,0)),"?"))</f>
        <v/>
      </c>
      <c r="C200" s="4" t="n"/>
      <c r="D200" s="4" t="n"/>
      <c r="E200" s="4" t="n"/>
      <c r="F200" s="11" t="n"/>
      <c r="G200" s="4" t="n"/>
      <c r="H200" s="11" t="n"/>
      <c r="I200" s="11" t="n"/>
      <c r="J200" s="9">
        <f>IF(OR(F200="",H200=""),"",IF(F200&gt;H200,E200,IF(H200&gt;F200,G200,"")))</f>
        <v/>
      </c>
      <c r="K200" s="4" t="n"/>
      <c r="L200" s="9">
        <f>IF(COUNTA(A200,C200,D200,E200,F200,G200,H200,I200)=0,"",IF(OR(A200="",C200="",E200="",G200=""),"Missing week/class/team",IF(AND(D200="",I200&lt;&gt;"Y"),"No chapter (forfeit?)",IF(AND(D200&lt;&gt;"",I200="Y"),"Forfeit has a chapter",IF(OR(F200="",H200=""),"Missing score",IF(F200=H200,"Tie score",IF(COUNTIFS($A$2:$A$801,A200,$E$2:$E$801,E200)+COUNTIFS($A$2:$A$801,A200,$G$2:$G$801,E200)&gt;1,"Team 1 listed twice this week",IF(COUNTIFS($A$2:$A$801,A200,$E$2:$E$801,G200)+COUNTIFS($A$2:$A$801,A200,$G$2:$G$801,G200)&gt;1,"Team 2 listed twice this week",""))))))))</f>
        <v/>
      </c>
    </row>
    <row r="201">
      <c r="A201" s="11" t="n"/>
      <c r="B201" s="9">
        <f>IF(A201="","",IFERROR(INDEX(Lists!$G$2:$G$7,MATCH(A201,Lists!$F$2:$F$7,0)),"?"))</f>
        <v/>
      </c>
      <c r="C201" s="4" t="n"/>
      <c r="D201" s="4" t="n"/>
      <c r="E201" s="4" t="n"/>
      <c r="F201" s="11" t="n"/>
      <c r="G201" s="4" t="n"/>
      <c r="H201" s="11" t="n"/>
      <c r="I201" s="11" t="n"/>
      <c r="J201" s="9">
        <f>IF(OR(F201="",H201=""),"",IF(F201&gt;H201,E201,IF(H201&gt;F201,G201,"")))</f>
        <v/>
      </c>
      <c r="K201" s="4" t="n"/>
      <c r="L201" s="9">
        <f>IF(COUNTA(A201,C201,D201,E201,F201,G201,H201,I201)=0,"",IF(OR(A201="",C201="",E201="",G201=""),"Missing week/class/team",IF(AND(D201="",I201&lt;&gt;"Y"),"No chapter (forfeit?)",IF(AND(D201&lt;&gt;"",I201="Y"),"Forfeit has a chapter",IF(OR(F201="",H201=""),"Missing score",IF(F201=H201,"Tie score",IF(COUNTIFS($A$2:$A$801,A201,$E$2:$E$801,E201)+COUNTIFS($A$2:$A$801,A201,$G$2:$G$801,E201)&gt;1,"Team 1 listed twice this week",IF(COUNTIFS($A$2:$A$801,A201,$E$2:$E$801,G201)+COUNTIFS($A$2:$A$801,A201,$G$2:$G$801,G201)&gt;1,"Team 2 listed twice this week",""))))))))</f>
        <v/>
      </c>
    </row>
    <row r="202">
      <c r="A202" s="11" t="n"/>
      <c r="B202" s="9">
        <f>IF(A202="","",IFERROR(INDEX(Lists!$G$2:$G$7,MATCH(A202,Lists!$F$2:$F$7,0)),"?"))</f>
        <v/>
      </c>
      <c r="C202" s="4" t="n"/>
      <c r="D202" s="4" t="n"/>
      <c r="E202" s="4" t="n"/>
      <c r="F202" s="11" t="n"/>
      <c r="G202" s="4" t="n"/>
      <c r="H202" s="11" t="n"/>
      <c r="I202" s="11" t="n"/>
      <c r="J202" s="9">
        <f>IF(OR(F202="",H202=""),"",IF(F202&gt;H202,E202,IF(H202&gt;F202,G202,"")))</f>
        <v/>
      </c>
      <c r="K202" s="4" t="n"/>
      <c r="L202" s="9">
        <f>IF(COUNTA(A202,C202,D202,E202,F202,G202,H202,I202)=0,"",IF(OR(A202="",C202="",E202="",G202=""),"Missing week/class/team",IF(AND(D202="",I202&lt;&gt;"Y"),"No chapter (forfeit?)",IF(AND(D202&lt;&gt;"",I202="Y"),"Forfeit has a chapter",IF(OR(F202="",H202=""),"Missing score",IF(F202=H202,"Tie score",IF(COUNTIFS($A$2:$A$801,A202,$E$2:$E$801,E202)+COUNTIFS($A$2:$A$801,A202,$G$2:$G$801,E202)&gt;1,"Team 1 listed twice this week",IF(COUNTIFS($A$2:$A$801,A202,$E$2:$E$801,G202)+COUNTIFS($A$2:$A$801,A202,$G$2:$G$801,G202)&gt;1,"Team 2 listed twice this week",""))))))))</f>
        <v/>
      </c>
    </row>
    <row r="203">
      <c r="A203" s="11" t="n"/>
      <c r="B203" s="9">
        <f>IF(A203="","",IFERROR(INDEX(Lists!$G$2:$G$7,MATCH(A203,Lists!$F$2:$F$7,0)),"?"))</f>
        <v/>
      </c>
      <c r="C203" s="4" t="n"/>
      <c r="D203" s="4" t="n"/>
      <c r="E203" s="4" t="n"/>
      <c r="F203" s="11" t="n"/>
      <c r="G203" s="4" t="n"/>
      <c r="H203" s="11" t="n"/>
      <c r="I203" s="11" t="n"/>
      <c r="J203" s="9">
        <f>IF(OR(F203="",H203=""),"",IF(F203&gt;H203,E203,IF(H203&gt;F203,G203,"")))</f>
        <v/>
      </c>
      <c r="K203" s="4" t="n"/>
      <c r="L203" s="9">
        <f>IF(COUNTA(A203,C203,D203,E203,F203,G203,H203,I203)=0,"",IF(OR(A203="",C203="",E203="",G203=""),"Missing week/class/team",IF(AND(D203="",I203&lt;&gt;"Y"),"No chapter (forfeit?)",IF(AND(D203&lt;&gt;"",I203="Y"),"Forfeit has a chapter",IF(OR(F203="",H203=""),"Missing score",IF(F203=H203,"Tie score",IF(COUNTIFS($A$2:$A$801,A203,$E$2:$E$801,E203)+COUNTIFS($A$2:$A$801,A203,$G$2:$G$801,E203)&gt;1,"Team 1 listed twice this week",IF(COUNTIFS($A$2:$A$801,A203,$E$2:$E$801,G203)+COUNTIFS($A$2:$A$801,A203,$G$2:$G$801,G203)&gt;1,"Team 2 listed twice this week",""))))))))</f>
        <v/>
      </c>
    </row>
    <row r="204">
      <c r="A204" s="11" t="n"/>
      <c r="B204" s="9">
        <f>IF(A204="","",IFERROR(INDEX(Lists!$G$2:$G$7,MATCH(A204,Lists!$F$2:$F$7,0)),"?"))</f>
        <v/>
      </c>
      <c r="C204" s="4" t="n"/>
      <c r="D204" s="4" t="n"/>
      <c r="E204" s="4" t="n"/>
      <c r="F204" s="11" t="n"/>
      <c r="G204" s="4" t="n"/>
      <c r="H204" s="11" t="n"/>
      <c r="I204" s="11" t="n"/>
      <c r="J204" s="9">
        <f>IF(OR(F204="",H204=""),"",IF(F204&gt;H204,E204,IF(H204&gt;F204,G204,"")))</f>
        <v/>
      </c>
      <c r="K204" s="4" t="n"/>
      <c r="L204" s="9">
        <f>IF(COUNTA(A204,C204,D204,E204,F204,G204,H204,I204)=0,"",IF(OR(A204="",C204="",E204="",G204=""),"Missing week/class/team",IF(AND(D204="",I204&lt;&gt;"Y"),"No chapter (forfeit?)",IF(AND(D204&lt;&gt;"",I204="Y"),"Forfeit has a chapter",IF(OR(F204="",H204=""),"Missing score",IF(F204=H204,"Tie score",IF(COUNTIFS($A$2:$A$801,A204,$E$2:$E$801,E204)+COUNTIFS($A$2:$A$801,A204,$G$2:$G$801,E204)&gt;1,"Team 1 listed twice this week",IF(COUNTIFS($A$2:$A$801,A204,$E$2:$E$801,G204)+COUNTIFS($A$2:$A$801,A204,$G$2:$G$801,G204)&gt;1,"Team 2 listed twice this week",""))))))))</f>
        <v/>
      </c>
    </row>
    <row r="205">
      <c r="A205" s="11" t="n"/>
      <c r="B205" s="9">
        <f>IF(A205="","",IFERROR(INDEX(Lists!$G$2:$G$7,MATCH(A205,Lists!$F$2:$F$7,0)),"?"))</f>
        <v/>
      </c>
      <c r="C205" s="4" t="n"/>
      <c r="D205" s="4" t="n"/>
      <c r="E205" s="4" t="n"/>
      <c r="F205" s="11" t="n"/>
      <c r="G205" s="4" t="n"/>
      <c r="H205" s="11" t="n"/>
      <c r="I205" s="11" t="n"/>
      <c r="J205" s="9">
        <f>IF(OR(F205="",H205=""),"",IF(F205&gt;H205,E205,IF(H205&gt;F205,G205,"")))</f>
        <v/>
      </c>
      <c r="K205" s="4" t="n"/>
      <c r="L205" s="9">
        <f>IF(COUNTA(A205,C205,D205,E205,F205,G205,H205,I205)=0,"",IF(OR(A205="",C205="",E205="",G205=""),"Missing week/class/team",IF(AND(D205="",I205&lt;&gt;"Y"),"No chapter (forfeit?)",IF(AND(D205&lt;&gt;"",I205="Y"),"Forfeit has a chapter",IF(OR(F205="",H205=""),"Missing score",IF(F205=H205,"Tie score",IF(COUNTIFS($A$2:$A$801,A205,$E$2:$E$801,E205)+COUNTIFS($A$2:$A$801,A205,$G$2:$G$801,E205)&gt;1,"Team 1 listed twice this week",IF(COUNTIFS($A$2:$A$801,A205,$E$2:$E$801,G205)+COUNTIFS($A$2:$A$801,A205,$G$2:$G$801,G205)&gt;1,"Team 2 listed twice this week",""))))))))</f>
        <v/>
      </c>
    </row>
    <row r="206">
      <c r="A206" s="11" t="n"/>
      <c r="B206" s="9">
        <f>IF(A206="","",IFERROR(INDEX(Lists!$G$2:$G$7,MATCH(A206,Lists!$F$2:$F$7,0)),"?"))</f>
        <v/>
      </c>
      <c r="C206" s="4" t="n"/>
      <c r="D206" s="4" t="n"/>
      <c r="E206" s="4" t="n"/>
      <c r="F206" s="11" t="n"/>
      <c r="G206" s="4" t="n"/>
      <c r="H206" s="11" t="n"/>
      <c r="I206" s="11" t="n"/>
      <c r="J206" s="9">
        <f>IF(OR(F206="",H206=""),"",IF(F206&gt;H206,E206,IF(H206&gt;F206,G206,"")))</f>
        <v/>
      </c>
      <c r="K206" s="4" t="n"/>
      <c r="L206" s="9">
        <f>IF(COUNTA(A206,C206,D206,E206,F206,G206,H206,I206)=0,"",IF(OR(A206="",C206="",E206="",G206=""),"Missing week/class/team",IF(AND(D206="",I206&lt;&gt;"Y"),"No chapter (forfeit?)",IF(AND(D206&lt;&gt;"",I206="Y"),"Forfeit has a chapter",IF(OR(F206="",H206=""),"Missing score",IF(F206=H206,"Tie score",IF(COUNTIFS($A$2:$A$801,A206,$E$2:$E$801,E206)+COUNTIFS($A$2:$A$801,A206,$G$2:$G$801,E206)&gt;1,"Team 1 listed twice this week",IF(COUNTIFS($A$2:$A$801,A206,$E$2:$E$801,G206)+COUNTIFS($A$2:$A$801,A206,$G$2:$G$801,G206)&gt;1,"Team 2 listed twice this week",""))))))))</f>
        <v/>
      </c>
    </row>
    <row r="207">
      <c r="A207" s="11" t="n"/>
      <c r="B207" s="9">
        <f>IF(A207="","",IFERROR(INDEX(Lists!$G$2:$G$7,MATCH(A207,Lists!$F$2:$F$7,0)),"?"))</f>
        <v/>
      </c>
      <c r="C207" s="4" t="n"/>
      <c r="D207" s="4" t="n"/>
      <c r="E207" s="4" t="n"/>
      <c r="F207" s="11" t="n"/>
      <c r="G207" s="4" t="n"/>
      <c r="H207" s="11" t="n"/>
      <c r="I207" s="11" t="n"/>
      <c r="J207" s="9">
        <f>IF(OR(F207="",H207=""),"",IF(F207&gt;H207,E207,IF(H207&gt;F207,G207,"")))</f>
        <v/>
      </c>
      <c r="K207" s="4" t="n"/>
      <c r="L207" s="9">
        <f>IF(COUNTA(A207,C207,D207,E207,F207,G207,H207,I207)=0,"",IF(OR(A207="",C207="",E207="",G207=""),"Missing week/class/team",IF(AND(D207="",I207&lt;&gt;"Y"),"No chapter (forfeit?)",IF(AND(D207&lt;&gt;"",I207="Y"),"Forfeit has a chapter",IF(OR(F207="",H207=""),"Missing score",IF(F207=H207,"Tie score",IF(COUNTIFS($A$2:$A$801,A207,$E$2:$E$801,E207)+COUNTIFS($A$2:$A$801,A207,$G$2:$G$801,E207)&gt;1,"Team 1 listed twice this week",IF(COUNTIFS($A$2:$A$801,A207,$E$2:$E$801,G207)+COUNTIFS($A$2:$A$801,A207,$G$2:$G$801,G207)&gt;1,"Team 2 listed twice this week",""))))))))</f>
        <v/>
      </c>
    </row>
    <row r="208">
      <c r="A208" s="11" t="n"/>
      <c r="B208" s="9">
        <f>IF(A208="","",IFERROR(INDEX(Lists!$G$2:$G$7,MATCH(A208,Lists!$F$2:$F$7,0)),"?"))</f>
        <v/>
      </c>
      <c r="C208" s="4" t="n"/>
      <c r="D208" s="4" t="n"/>
      <c r="E208" s="4" t="n"/>
      <c r="F208" s="11" t="n"/>
      <c r="G208" s="4" t="n"/>
      <c r="H208" s="11" t="n"/>
      <c r="I208" s="11" t="n"/>
      <c r="J208" s="9">
        <f>IF(OR(F208="",H208=""),"",IF(F208&gt;H208,E208,IF(H208&gt;F208,G208,"")))</f>
        <v/>
      </c>
      <c r="K208" s="4" t="n"/>
      <c r="L208" s="9">
        <f>IF(COUNTA(A208,C208,D208,E208,F208,G208,H208,I208)=0,"",IF(OR(A208="",C208="",E208="",G208=""),"Missing week/class/team",IF(AND(D208="",I208&lt;&gt;"Y"),"No chapter (forfeit?)",IF(AND(D208&lt;&gt;"",I208="Y"),"Forfeit has a chapter",IF(OR(F208="",H208=""),"Missing score",IF(F208=H208,"Tie score",IF(COUNTIFS($A$2:$A$801,A208,$E$2:$E$801,E208)+COUNTIFS($A$2:$A$801,A208,$G$2:$G$801,E208)&gt;1,"Team 1 listed twice this week",IF(COUNTIFS($A$2:$A$801,A208,$E$2:$E$801,G208)+COUNTIFS($A$2:$A$801,A208,$G$2:$G$801,G208)&gt;1,"Team 2 listed twice this week",""))))))))</f>
        <v/>
      </c>
    </row>
    <row r="209">
      <c r="A209" s="11" t="n"/>
      <c r="B209" s="9">
        <f>IF(A209="","",IFERROR(INDEX(Lists!$G$2:$G$7,MATCH(A209,Lists!$F$2:$F$7,0)),"?"))</f>
        <v/>
      </c>
      <c r="C209" s="4" t="n"/>
      <c r="D209" s="4" t="n"/>
      <c r="E209" s="4" t="n"/>
      <c r="F209" s="11" t="n"/>
      <c r="G209" s="4" t="n"/>
      <c r="H209" s="11" t="n"/>
      <c r="I209" s="11" t="n"/>
      <c r="J209" s="9">
        <f>IF(OR(F209="",H209=""),"",IF(F209&gt;H209,E209,IF(H209&gt;F209,G209,"")))</f>
        <v/>
      </c>
      <c r="K209" s="4" t="n"/>
      <c r="L209" s="9">
        <f>IF(COUNTA(A209,C209,D209,E209,F209,G209,H209,I209)=0,"",IF(OR(A209="",C209="",E209="",G209=""),"Missing week/class/team",IF(AND(D209="",I209&lt;&gt;"Y"),"No chapter (forfeit?)",IF(AND(D209&lt;&gt;"",I209="Y"),"Forfeit has a chapter",IF(OR(F209="",H209=""),"Missing score",IF(F209=H209,"Tie score",IF(COUNTIFS($A$2:$A$801,A209,$E$2:$E$801,E209)+COUNTIFS($A$2:$A$801,A209,$G$2:$G$801,E209)&gt;1,"Team 1 listed twice this week",IF(COUNTIFS($A$2:$A$801,A209,$E$2:$E$801,G209)+COUNTIFS($A$2:$A$801,A209,$G$2:$G$801,G209)&gt;1,"Team 2 listed twice this week",""))))))))</f>
        <v/>
      </c>
    </row>
    <row r="210">
      <c r="A210" s="11" t="n"/>
      <c r="B210" s="9">
        <f>IF(A210="","",IFERROR(INDEX(Lists!$G$2:$G$7,MATCH(A210,Lists!$F$2:$F$7,0)),"?"))</f>
        <v/>
      </c>
      <c r="C210" s="4" t="n"/>
      <c r="D210" s="4" t="n"/>
      <c r="E210" s="4" t="n"/>
      <c r="F210" s="11" t="n"/>
      <c r="G210" s="4" t="n"/>
      <c r="H210" s="11" t="n"/>
      <c r="I210" s="11" t="n"/>
      <c r="J210" s="9">
        <f>IF(OR(F210="",H210=""),"",IF(F210&gt;H210,E210,IF(H210&gt;F210,G210,"")))</f>
        <v/>
      </c>
      <c r="K210" s="4" t="n"/>
      <c r="L210" s="9">
        <f>IF(COUNTA(A210,C210,D210,E210,F210,G210,H210,I210)=0,"",IF(OR(A210="",C210="",E210="",G210=""),"Missing week/class/team",IF(AND(D210="",I210&lt;&gt;"Y"),"No chapter (forfeit?)",IF(AND(D210&lt;&gt;"",I210="Y"),"Forfeit has a chapter",IF(OR(F210="",H210=""),"Missing score",IF(F210=H210,"Tie score",IF(COUNTIFS($A$2:$A$801,A210,$E$2:$E$801,E210)+COUNTIFS($A$2:$A$801,A210,$G$2:$G$801,E210)&gt;1,"Team 1 listed twice this week",IF(COUNTIFS($A$2:$A$801,A210,$E$2:$E$801,G210)+COUNTIFS($A$2:$A$801,A210,$G$2:$G$801,G210)&gt;1,"Team 2 listed twice this week",""))))))))</f>
        <v/>
      </c>
    </row>
    <row r="211">
      <c r="A211" s="11" t="n"/>
      <c r="B211" s="9">
        <f>IF(A211="","",IFERROR(INDEX(Lists!$G$2:$G$7,MATCH(A211,Lists!$F$2:$F$7,0)),"?"))</f>
        <v/>
      </c>
      <c r="C211" s="4" t="n"/>
      <c r="D211" s="4" t="n"/>
      <c r="E211" s="4" t="n"/>
      <c r="F211" s="11" t="n"/>
      <c r="G211" s="4" t="n"/>
      <c r="H211" s="11" t="n"/>
      <c r="I211" s="11" t="n"/>
      <c r="J211" s="9">
        <f>IF(OR(F211="",H211=""),"",IF(F211&gt;H211,E211,IF(H211&gt;F211,G211,"")))</f>
        <v/>
      </c>
      <c r="K211" s="4" t="n"/>
      <c r="L211" s="9">
        <f>IF(COUNTA(A211,C211,D211,E211,F211,G211,H211,I211)=0,"",IF(OR(A211="",C211="",E211="",G211=""),"Missing week/class/team",IF(AND(D211="",I211&lt;&gt;"Y"),"No chapter (forfeit?)",IF(AND(D211&lt;&gt;"",I211="Y"),"Forfeit has a chapter",IF(OR(F211="",H211=""),"Missing score",IF(F211=H211,"Tie score",IF(COUNTIFS($A$2:$A$801,A211,$E$2:$E$801,E211)+COUNTIFS($A$2:$A$801,A211,$G$2:$G$801,E211)&gt;1,"Team 1 listed twice this week",IF(COUNTIFS($A$2:$A$801,A211,$E$2:$E$801,G211)+COUNTIFS($A$2:$A$801,A211,$G$2:$G$801,G211)&gt;1,"Team 2 listed twice this week",""))))))))</f>
        <v/>
      </c>
    </row>
    <row r="212">
      <c r="A212" s="11" t="n"/>
      <c r="B212" s="9">
        <f>IF(A212="","",IFERROR(INDEX(Lists!$G$2:$G$7,MATCH(A212,Lists!$F$2:$F$7,0)),"?"))</f>
        <v/>
      </c>
      <c r="C212" s="4" t="n"/>
      <c r="D212" s="4" t="n"/>
      <c r="E212" s="4" t="n"/>
      <c r="F212" s="11" t="n"/>
      <c r="G212" s="4" t="n"/>
      <c r="H212" s="11" t="n"/>
      <c r="I212" s="11" t="n"/>
      <c r="J212" s="9">
        <f>IF(OR(F212="",H212=""),"",IF(F212&gt;H212,E212,IF(H212&gt;F212,G212,"")))</f>
        <v/>
      </c>
      <c r="K212" s="4" t="n"/>
      <c r="L212" s="9">
        <f>IF(COUNTA(A212,C212,D212,E212,F212,G212,H212,I212)=0,"",IF(OR(A212="",C212="",E212="",G212=""),"Missing week/class/team",IF(AND(D212="",I212&lt;&gt;"Y"),"No chapter (forfeit?)",IF(AND(D212&lt;&gt;"",I212="Y"),"Forfeit has a chapter",IF(OR(F212="",H212=""),"Missing score",IF(F212=H212,"Tie score",IF(COUNTIFS($A$2:$A$801,A212,$E$2:$E$801,E212)+COUNTIFS($A$2:$A$801,A212,$G$2:$G$801,E212)&gt;1,"Team 1 listed twice this week",IF(COUNTIFS($A$2:$A$801,A212,$E$2:$E$801,G212)+COUNTIFS($A$2:$A$801,A212,$G$2:$G$801,G212)&gt;1,"Team 2 listed twice this week",""))))))))</f>
        <v/>
      </c>
    </row>
    <row r="213">
      <c r="A213" s="11" t="n"/>
      <c r="B213" s="9">
        <f>IF(A213="","",IFERROR(INDEX(Lists!$G$2:$G$7,MATCH(A213,Lists!$F$2:$F$7,0)),"?"))</f>
        <v/>
      </c>
      <c r="C213" s="4" t="n"/>
      <c r="D213" s="4" t="n"/>
      <c r="E213" s="4" t="n"/>
      <c r="F213" s="11" t="n"/>
      <c r="G213" s="4" t="n"/>
      <c r="H213" s="11" t="n"/>
      <c r="I213" s="11" t="n"/>
      <c r="J213" s="9">
        <f>IF(OR(F213="",H213=""),"",IF(F213&gt;H213,E213,IF(H213&gt;F213,G213,"")))</f>
        <v/>
      </c>
      <c r="K213" s="4" t="n"/>
      <c r="L213" s="9">
        <f>IF(COUNTA(A213,C213,D213,E213,F213,G213,H213,I213)=0,"",IF(OR(A213="",C213="",E213="",G213=""),"Missing week/class/team",IF(AND(D213="",I213&lt;&gt;"Y"),"No chapter (forfeit?)",IF(AND(D213&lt;&gt;"",I213="Y"),"Forfeit has a chapter",IF(OR(F213="",H213=""),"Missing score",IF(F213=H213,"Tie score",IF(COUNTIFS($A$2:$A$801,A213,$E$2:$E$801,E213)+COUNTIFS($A$2:$A$801,A213,$G$2:$G$801,E213)&gt;1,"Team 1 listed twice this week",IF(COUNTIFS($A$2:$A$801,A213,$E$2:$E$801,G213)+COUNTIFS($A$2:$A$801,A213,$G$2:$G$801,G213)&gt;1,"Team 2 listed twice this week",""))))))))</f>
        <v/>
      </c>
    </row>
    <row r="214">
      <c r="A214" s="11" t="n"/>
      <c r="B214" s="9">
        <f>IF(A214="","",IFERROR(INDEX(Lists!$G$2:$G$7,MATCH(A214,Lists!$F$2:$F$7,0)),"?"))</f>
        <v/>
      </c>
      <c r="C214" s="4" t="n"/>
      <c r="D214" s="4" t="n"/>
      <c r="E214" s="4" t="n"/>
      <c r="F214" s="11" t="n"/>
      <c r="G214" s="4" t="n"/>
      <c r="H214" s="11" t="n"/>
      <c r="I214" s="11" t="n"/>
      <c r="J214" s="9">
        <f>IF(OR(F214="",H214=""),"",IF(F214&gt;H214,E214,IF(H214&gt;F214,G214,"")))</f>
        <v/>
      </c>
      <c r="K214" s="4" t="n"/>
      <c r="L214" s="9">
        <f>IF(COUNTA(A214,C214,D214,E214,F214,G214,H214,I214)=0,"",IF(OR(A214="",C214="",E214="",G214=""),"Missing week/class/team",IF(AND(D214="",I214&lt;&gt;"Y"),"No chapter (forfeit?)",IF(AND(D214&lt;&gt;"",I214="Y"),"Forfeit has a chapter",IF(OR(F214="",H214=""),"Missing score",IF(F214=H214,"Tie score",IF(COUNTIFS($A$2:$A$801,A214,$E$2:$E$801,E214)+COUNTIFS($A$2:$A$801,A214,$G$2:$G$801,E214)&gt;1,"Team 1 listed twice this week",IF(COUNTIFS($A$2:$A$801,A214,$E$2:$E$801,G214)+COUNTIFS($A$2:$A$801,A214,$G$2:$G$801,G214)&gt;1,"Team 2 listed twice this week",""))))))))</f>
        <v/>
      </c>
    </row>
    <row r="215">
      <c r="A215" s="11" t="n"/>
      <c r="B215" s="9">
        <f>IF(A215="","",IFERROR(INDEX(Lists!$G$2:$G$7,MATCH(A215,Lists!$F$2:$F$7,0)),"?"))</f>
        <v/>
      </c>
      <c r="C215" s="4" t="n"/>
      <c r="D215" s="4" t="n"/>
      <c r="E215" s="4" t="n"/>
      <c r="F215" s="11" t="n"/>
      <c r="G215" s="4" t="n"/>
      <c r="H215" s="11" t="n"/>
      <c r="I215" s="11" t="n"/>
      <c r="J215" s="9">
        <f>IF(OR(F215="",H215=""),"",IF(F215&gt;H215,E215,IF(H215&gt;F215,G215,"")))</f>
        <v/>
      </c>
      <c r="K215" s="4" t="n"/>
      <c r="L215" s="9">
        <f>IF(COUNTA(A215,C215,D215,E215,F215,G215,H215,I215)=0,"",IF(OR(A215="",C215="",E215="",G215=""),"Missing week/class/team",IF(AND(D215="",I215&lt;&gt;"Y"),"No chapter (forfeit?)",IF(AND(D215&lt;&gt;"",I215="Y"),"Forfeit has a chapter",IF(OR(F215="",H215=""),"Missing score",IF(F215=H215,"Tie score",IF(COUNTIFS($A$2:$A$801,A215,$E$2:$E$801,E215)+COUNTIFS($A$2:$A$801,A215,$G$2:$G$801,E215)&gt;1,"Team 1 listed twice this week",IF(COUNTIFS($A$2:$A$801,A215,$E$2:$E$801,G215)+COUNTIFS($A$2:$A$801,A215,$G$2:$G$801,G215)&gt;1,"Team 2 listed twice this week",""))))))))</f>
        <v/>
      </c>
    </row>
    <row r="216">
      <c r="A216" s="11" t="n"/>
      <c r="B216" s="9">
        <f>IF(A216="","",IFERROR(INDEX(Lists!$G$2:$G$7,MATCH(A216,Lists!$F$2:$F$7,0)),"?"))</f>
        <v/>
      </c>
      <c r="C216" s="4" t="n"/>
      <c r="D216" s="4" t="n"/>
      <c r="E216" s="4" t="n"/>
      <c r="F216" s="11" t="n"/>
      <c r="G216" s="4" t="n"/>
      <c r="H216" s="11" t="n"/>
      <c r="I216" s="11" t="n"/>
      <c r="J216" s="9">
        <f>IF(OR(F216="",H216=""),"",IF(F216&gt;H216,E216,IF(H216&gt;F216,G216,"")))</f>
        <v/>
      </c>
      <c r="K216" s="4" t="n"/>
      <c r="L216" s="9">
        <f>IF(COUNTA(A216,C216,D216,E216,F216,G216,H216,I216)=0,"",IF(OR(A216="",C216="",E216="",G216=""),"Missing week/class/team",IF(AND(D216="",I216&lt;&gt;"Y"),"No chapter (forfeit?)",IF(AND(D216&lt;&gt;"",I216="Y"),"Forfeit has a chapter",IF(OR(F216="",H216=""),"Missing score",IF(F216=H216,"Tie score",IF(COUNTIFS($A$2:$A$801,A216,$E$2:$E$801,E216)+COUNTIFS($A$2:$A$801,A216,$G$2:$G$801,E216)&gt;1,"Team 1 listed twice this week",IF(COUNTIFS($A$2:$A$801,A216,$E$2:$E$801,G216)+COUNTIFS($A$2:$A$801,A216,$G$2:$G$801,G216)&gt;1,"Team 2 listed twice this week",""))))))))</f>
        <v/>
      </c>
    </row>
    <row r="217">
      <c r="A217" s="11" t="n"/>
      <c r="B217" s="9">
        <f>IF(A217="","",IFERROR(INDEX(Lists!$G$2:$G$7,MATCH(A217,Lists!$F$2:$F$7,0)),"?"))</f>
        <v/>
      </c>
      <c r="C217" s="4" t="n"/>
      <c r="D217" s="4" t="n"/>
      <c r="E217" s="4" t="n"/>
      <c r="F217" s="11" t="n"/>
      <c r="G217" s="4" t="n"/>
      <c r="H217" s="11" t="n"/>
      <c r="I217" s="11" t="n"/>
      <c r="J217" s="9">
        <f>IF(OR(F217="",H217=""),"",IF(F217&gt;H217,E217,IF(H217&gt;F217,G217,"")))</f>
        <v/>
      </c>
      <c r="K217" s="4" t="n"/>
      <c r="L217" s="9">
        <f>IF(COUNTA(A217,C217,D217,E217,F217,G217,H217,I217)=0,"",IF(OR(A217="",C217="",E217="",G217=""),"Missing week/class/team",IF(AND(D217="",I217&lt;&gt;"Y"),"No chapter (forfeit?)",IF(AND(D217&lt;&gt;"",I217="Y"),"Forfeit has a chapter",IF(OR(F217="",H217=""),"Missing score",IF(F217=H217,"Tie score",IF(COUNTIFS($A$2:$A$801,A217,$E$2:$E$801,E217)+COUNTIFS($A$2:$A$801,A217,$G$2:$G$801,E217)&gt;1,"Team 1 listed twice this week",IF(COUNTIFS($A$2:$A$801,A217,$E$2:$E$801,G217)+COUNTIFS($A$2:$A$801,A217,$G$2:$G$801,G217)&gt;1,"Team 2 listed twice this week",""))))))))</f>
        <v/>
      </c>
    </row>
    <row r="218">
      <c r="A218" s="11" t="n"/>
      <c r="B218" s="9">
        <f>IF(A218="","",IFERROR(INDEX(Lists!$G$2:$G$7,MATCH(A218,Lists!$F$2:$F$7,0)),"?"))</f>
        <v/>
      </c>
      <c r="C218" s="4" t="n"/>
      <c r="D218" s="4" t="n"/>
      <c r="E218" s="4" t="n"/>
      <c r="F218" s="11" t="n"/>
      <c r="G218" s="4" t="n"/>
      <c r="H218" s="11" t="n"/>
      <c r="I218" s="11" t="n"/>
      <c r="J218" s="9">
        <f>IF(OR(F218="",H218=""),"",IF(F218&gt;H218,E218,IF(H218&gt;F218,G218,"")))</f>
        <v/>
      </c>
      <c r="K218" s="4" t="n"/>
      <c r="L218" s="9">
        <f>IF(COUNTA(A218,C218,D218,E218,F218,G218,H218,I218)=0,"",IF(OR(A218="",C218="",E218="",G218=""),"Missing week/class/team",IF(AND(D218="",I218&lt;&gt;"Y"),"No chapter (forfeit?)",IF(AND(D218&lt;&gt;"",I218="Y"),"Forfeit has a chapter",IF(OR(F218="",H218=""),"Missing score",IF(F218=H218,"Tie score",IF(COUNTIFS($A$2:$A$801,A218,$E$2:$E$801,E218)+COUNTIFS($A$2:$A$801,A218,$G$2:$G$801,E218)&gt;1,"Team 1 listed twice this week",IF(COUNTIFS($A$2:$A$801,A218,$E$2:$E$801,G218)+COUNTIFS($A$2:$A$801,A218,$G$2:$G$801,G218)&gt;1,"Team 2 listed twice this week",""))))))))</f>
        <v/>
      </c>
    </row>
    <row r="219">
      <c r="A219" s="11" t="n"/>
      <c r="B219" s="9">
        <f>IF(A219="","",IFERROR(INDEX(Lists!$G$2:$G$7,MATCH(A219,Lists!$F$2:$F$7,0)),"?"))</f>
        <v/>
      </c>
      <c r="C219" s="4" t="n"/>
      <c r="D219" s="4" t="n"/>
      <c r="E219" s="4" t="n"/>
      <c r="F219" s="11" t="n"/>
      <c r="G219" s="4" t="n"/>
      <c r="H219" s="11" t="n"/>
      <c r="I219" s="11" t="n"/>
      <c r="J219" s="9">
        <f>IF(OR(F219="",H219=""),"",IF(F219&gt;H219,E219,IF(H219&gt;F219,G219,"")))</f>
        <v/>
      </c>
      <c r="K219" s="4" t="n"/>
      <c r="L219" s="9">
        <f>IF(COUNTA(A219,C219,D219,E219,F219,G219,H219,I219)=0,"",IF(OR(A219="",C219="",E219="",G219=""),"Missing week/class/team",IF(AND(D219="",I219&lt;&gt;"Y"),"No chapter (forfeit?)",IF(AND(D219&lt;&gt;"",I219="Y"),"Forfeit has a chapter",IF(OR(F219="",H219=""),"Missing score",IF(F219=H219,"Tie score",IF(COUNTIFS($A$2:$A$801,A219,$E$2:$E$801,E219)+COUNTIFS($A$2:$A$801,A219,$G$2:$G$801,E219)&gt;1,"Team 1 listed twice this week",IF(COUNTIFS($A$2:$A$801,A219,$E$2:$E$801,G219)+COUNTIFS($A$2:$A$801,A219,$G$2:$G$801,G219)&gt;1,"Team 2 listed twice this week",""))))))))</f>
        <v/>
      </c>
    </row>
    <row r="220">
      <c r="A220" s="11" t="n"/>
      <c r="B220" s="9">
        <f>IF(A220="","",IFERROR(INDEX(Lists!$G$2:$G$7,MATCH(A220,Lists!$F$2:$F$7,0)),"?"))</f>
        <v/>
      </c>
      <c r="C220" s="4" t="n"/>
      <c r="D220" s="4" t="n"/>
      <c r="E220" s="4" t="n"/>
      <c r="F220" s="11" t="n"/>
      <c r="G220" s="4" t="n"/>
      <c r="H220" s="11" t="n"/>
      <c r="I220" s="11" t="n"/>
      <c r="J220" s="9">
        <f>IF(OR(F220="",H220=""),"",IF(F220&gt;H220,E220,IF(H220&gt;F220,G220,"")))</f>
        <v/>
      </c>
      <c r="K220" s="4" t="n"/>
      <c r="L220" s="9">
        <f>IF(COUNTA(A220,C220,D220,E220,F220,G220,H220,I220)=0,"",IF(OR(A220="",C220="",E220="",G220=""),"Missing week/class/team",IF(AND(D220="",I220&lt;&gt;"Y"),"No chapter (forfeit?)",IF(AND(D220&lt;&gt;"",I220="Y"),"Forfeit has a chapter",IF(OR(F220="",H220=""),"Missing score",IF(F220=H220,"Tie score",IF(COUNTIFS($A$2:$A$801,A220,$E$2:$E$801,E220)+COUNTIFS($A$2:$A$801,A220,$G$2:$G$801,E220)&gt;1,"Team 1 listed twice this week",IF(COUNTIFS($A$2:$A$801,A220,$E$2:$E$801,G220)+COUNTIFS($A$2:$A$801,A220,$G$2:$G$801,G220)&gt;1,"Team 2 listed twice this week",""))))))))</f>
        <v/>
      </c>
    </row>
    <row r="221">
      <c r="A221" s="11" t="n"/>
      <c r="B221" s="9">
        <f>IF(A221="","",IFERROR(INDEX(Lists!$G$2:$G$7,MATCH(A221,Lists!$F$2:$F$7,0)),"?"))</f>
        <v/>
      </c>
      <c r="C221" s="4" t="n"/>
      <c r="D221" s="4" t="n"/>
      <c r="E221" s="4" t="n"/>
      <c r="F221" s="11" t="n"/>
      <c r="G221" s="4" t="n"/>
      <c r="H221" s="11" t="n"/>
      <c r="I221" s="11" t="n"/>
      <c r="J221" s="9">
        <f>IF(OR(F221="",H221=""),"",IF(F221&gt;H221,E221,IF(H221&gt;F221,G221,"")))</f>
        <v/>
      </c>
      <c r="K221" s="4" t="n"/>
      <c r="L221" s="9">
        <f>IF(COUNTA(A221,C221,D221,E221,F221,G221,H221,I221)=0,"",IF(OR(A221="",C221="",E221="",G221=""),"Missing week/class/team",IF(AND(D221="",I221&lt;&gt;"Y"),"No chapter (forfeit?)",IF(AND(D221&lt;&gt;"",I221="Y"),"Forfeit has a chapter",IF(OR(F221="",H221=""),"Missing score",IF(F221=H221,"Tie score",IF(COUNTIFS($A$2:$A$801,A221,$E$2:$E$801,E221)+COUNTIFS($A$2:$A$801,A221,$G$2:$G$801,E221)&gt;1,"Team 1 listed twice this week",IF(COUNTIFS($A$2:$A$801,A221,$E$2:$E$801,G221)+COUNTIFS($A$2:$A$801,A221,$G$2:$G$801,G221)&gt;1,"Team 2 listed twice this week",""))))))))</f>
        <v/>
      </c>
    </row>
    <row r="222">
      <c r="A222" s="11" t="n"/>
      <c r="B222" s="9">
        <f>IF(A222="","",IFERROR(INDEX(Lists!$G$2:$G$7,MATCH(A222,Lists!$F$2:$F$7,0)),"?"))</f>
        <v/>
      </c>
      <c r="C222" s="4" t="n"/>
      <c r="D222" s="4" t="n"/>
      <c r="E222" s="4" t="n"/>
      <c r="F222" s="11" t="n"/>
      <c r="G222" s="4" t="n"/>
      <c r="H222" s="11" t="n"/>
      <c r="I222" s="11" t="n"/>
      <c r="J222" s="9">
        <f>IF(OR(F222="",H222=""),"",IF(F222&gt;H222,E222,IF(H222&gt;F222,G222,"")))</f>
        <v/>
      </c>
      <c r="K222" s="4" t="n"/>
      <c r="L222" s="9">
        <f>IF(COUNTA(A222,C222,D222,E222,F222,G222,H222,I222)=0,"",IF(OR(A222="",C222="",E222="",G222=""),"Missing week/class/team",IF(AND(D222="",I222&lt;&gt;"Y"),"No chapter (forfeit?)",IF(AND(D222&lt;&gt;"",I222="Y"),"Forfeit has a chapter",IF(OR(F222="",H222=""),"Missing score",IF(F222=H222,"Tie score",IF(COUNTIFS($A$2:$A$801,A222,$E$2:$E$801,E222)+COUNTIFS($A$2:$A$801,A222,$G$2:$G$801,E222)&gt;1,"Team 1 listed twice this week",IF(COUNTIFS($A$2:$A$801,A222,$E$2:$E$801,G222)+COUNTIFS($A$2:$A$801,A222,$G$2:$G$801,G222)&gt;1,"Team 2 listed twice this week",""))))))))</f>
        <v/>
      </c>
    </row>
    <row r="223">
      <c r="A223" s="11" t="n"/>
      <c r="B223" s="9">
        <f>IF(A223="","",IFERROR(INDEX(Lists!$G$2:$G$7,MATCH(A223,Lists!$F$2:$F$7,0)),"?"))</f>
        <v/>
      </c>
      <c r="C223" s="4" t="n"/>
      <c r="D223" s="4" t="n"/>
      <c r="E223" s="4" t="n"/>
      <c r="F223" s="11" t="n"/>
      <c r="G223" s="4" t="n"/>
      <c r="H223" s="11" t="n"/>
      <c r="I223" s="11" t="n"/>
      <c r="J223" s="9">
        <f>IF(OR(F223="",H223=""),"",IF(F223&gt;H223,E223,IF(H223&gt;F223,G223,"")))</f>
        <v/>
      </c>
      <c r="K223" s="4" t="n"/>
      <c r="L223" s="9">
        <f>IF(COUNTA(A223,C223,D223,E223,F223,G223,H223,I223)=0,"",IF(OR(A223="",C223="",E223="",G223=""),"Missing week/class/team",IF(AND(D223="",I223&lt;&gt;"Y"),"No chapter (forfeit?)",IF(AND(D223&lt;&gt;"",I223="Y"),"Forfeit has a chapter",IF(OR(F223="",H223=""),"Missing score",IF(F223=H223,"Tie score",IF(COUNTIFS($A$2:$A$801,A223,$E$2:$E$801,E223)+COUNTIFS($A$2:$A$801,A223,$G$2:$G$801,E223)&gt;1,"Team 1 listed twice this week",IF(COUNTIFS($A$2:$A$801,A223,$E$2:$E$801,G223)+COUNTIFS($A$2:$A$801,A223,$G$2:$G$801,G223)&gt;1,"Team 2 listed twice this week",""))))))))</f>
        <v/>
      </c>
    </row>
    <row r="224">
      <c r="A224" s="11" t="n"/>
      <c r="B224" s="9">
        <f>IF(A224="","",IFERROR(INDEX(Lists!$G$2:$G$7,MATCH(A224,Lists!$F$2:$F$7,0)),"?"))</f>
        <v/>
      </c>
      <c r="C224" s="4" t="n"/>
      <c r="D224" s="4" t="n"/>
      <c r="E224" s="4" t="n"/>
      <c r="F224" s="11" t="n"/>
      <c r="G224" s="4" t="n"/>
      <c r="H224" s="11" t="n"/>
      <c r="I224" s="11" t="n"/>
      <c r="J224" s="9">
        <f>IF(OR(F224="",H224=""),"",IF(F224&gt;H224,E224,IF(H224&gt;F224,G224,"")))</f>
        <v/>
      </c>
      <c r="K224" s="4" t="n"/>
      <c r="L224" s="9">
        <f>IF(COUNTA(A224,C224,D224,E224,F224,G224,H224,I224)=0,"",IF(OR(A224="",C224="",E224="",G224=""),"Missing week/class/team",IF(AND(D224="",I224&lt;&gt;"Y"),"No chapter (forfeit?)",IF(AND(D224&lt;&gt;"",I224="Y"),"Forfeit has a chapter",IF(OR(F224="",H224=""),"Missing score",IF(F224=H224,"Tie score",IF(COUNTIFS($A$2:$A$801,A224,$E$2:$E$801,E224)+COUNTIFS($A$2:$A$801,A224,$G$2:$G$801,E224)&gt;1,"Team 1 listed twice this week",IF(COUNTIFS($A$2:$A$801,A224,$E$2:$E$801,G224)+COUNTIFS($A$2:$A$801,A224,$G$2:$G$801,G224)&gt;1,"Team 2 listed twice this week",""))))))))</f>
        <v/>
      </c>
    </row>
    <row r="225">
      <c r="A225" s="11" t="n"/>
      <c r="B225" s="9">
        <f>IF(A225="","",IFERROR(INDEX(Lists!$G$2:$G$7,MATCH(A225,Lists!$F$2:$F$7,0)),"?"))</f>
        <v/>
      </c>
      <c r="C225" s="4" t="n"/>
      <c r="D225" s="4" t="n"/>
      <c r="E225" s="4" t="n"/>
      <c r="F225" s="11" t="n"/>
      <c r="G225" s="4" t="n"/>
      <c r="H225" s="11" t="n"/>
      <c r="I225" s="11" t="n"/>
      <c r="J225" s="9">
        <f>IF(OR(F225="",H225=""),"",IF(F225&gt;H225,E225,IF(H225&gt;F225,G225,"")))</f>
        <v/>
      </c>
      <c r="K225" s="4" t="n"/>
      <c r="L225" s="9">
        <f>IF(COUNTA(A225,C225,D225,E225,F225,G225,H225,I225)=0,"",IF(OR(A225="",C225="",E225="",G225=""),"Missing week/class/team",IF(AND(D225="",I225&lt;&gt;"Y"),"No chapter (forfeit?)",IF(AND(D225&lt;&gt;"",I225="Y"),"Forfeit has a chapter",IF(OR(F225="",H225=""),"Missing score",IF(F225=H225,"Tie score",IF(COUNTIFS($A$2:$A$801,A225,$E$2:$E$801,E225)+COUNTIFS($A$2:$A$801,A225,$G$2:$G$801,E225)&gt;1,"Team 1 listed twice this week",IF(COUNTIFS($A$2:$A$801,A225,$E$2:$E$801,G225)+COUNTIFS($A$2:$A$801,A225,$G$2:$G$801,G225)&gt;1,"Team 2 listed twice this week",""))))))))</f>
        <v/>
      </c>
    </row>
    <row r="226">
      <c r="A226" s="11" t="n"/>
      <c r="B226" s="9">
        <f>IF(A226="","",IFERROR(INDEX(Lists!$G$2:$G$7,MATCH(A226,Lists!$F$2:$F$7,0)),"?"))</f>
        <v/>
      </c>
      <c r="C226" s="4" t="n"/>
      <c r="D226" s="4" t="n"/>
      <c r="E226" s="4" t="n"/>
      <c r="F226" s="11" t="n"/>
      <c r="G226" s="4" t="n"/>
      <c r="H226" s="11" t="n"/>
      <c r="I226" s="11" t="n"/>
      <c r="J226" s="9">
        <f>IF(OR(F226="",H226=""),"",IF(F226&gt;H226,E226,IF(H226&gt;F226,G226,"")))</f>
        <v/>
      </c>
      <c r="K226" s="4" t="n"/>
      <c r="L226" s="9">
        <f>IF(COUNTA(A226,C226,D226,E226,F226,G226,H226,I226)=0,"",IF(OR(A226="",C226="",E226="",G226=""),"Missing week/class/team",IF(AND(D226="",I226&lt;&gt;"Y"),"No chapter (forfeit?)",IF(AND(D226&lt;&gt;"",I226="Y"),"Forfeit has a chapter",IF(OR(F226="",H226=""),"Missing score",IF(F226=H226,"Tie score",IF(COUNTIFS($A$2:$A$801,A226,$E$2:$E$801,E226)+COUNTIFS($A$2:$A$801,A226,$G$2:$G$801,E226)&gt;1,"Team 1 listed twice this week",IF(COUNTIFS($A$2:$A$801,A226,$E$2:$E$801,G226)+COUNTIFS($A$2:$A$801,A226,$G$2:$G$801,G226)&gt;1,"Team 2 listed twice this week",""))))))))</f>
        <v/>
      </c>
    </row>
    <row r="227">
      <c r="A227" s="11" t="n"/>
      <c r="B227" s="9">
        <f>IF(A227="","",IFERROR(INDEX(Lists!$G$2:$G$7,MATCH(A227,Lists!$F$2:$F$7,0)),"?"))</f>
        <v/>
      </c>
      <c r="C227" s="4" t="n"/>
      <c r="D227" s="4" t="n"/>
      <c r="E227" s="4" t="n"/>
      <c r="F227" s="11" t="n"/>
      <c r="G227" s="4" t="n"/>
      <c r="H227" s="11" t="n"/>
      <c r="I227" s="11" t="n"/>
      <c r="J227" s="9">
        <f>IF(OR(F227="",H227=""),"",IF(F227&gt;H227,E227,IF(H227&gt;F227,G227,"")))</f>
        <v/>
      </c>
      <c r="K227" s="4" t="n"/>
      <c r="L227" s="9">
        <f>IF(COUNTA(A227,C227,D227,E227,F227,G227,H227,I227)=0,"",IF(OR(A227="",C227="",E227="",G227=""),"Missing week/class/team",IF(AND(D227="",I227&lt;&gt;"Y"),"No chapter (forfeit?)",IF(AND(D227&lt;&gt;"",I227="Y"),"Forfeit has a chapter",IF(OR(F227="",H227=""),"Missing score",IF(F227=H227,"Tie score",IF(COUNTIFS($A$2:$A$801,A227,$E$2:$E$801,E227)+COUNTIFS($A$2:$A$801,A227,$G$2:$G$801,E227)&gt;1,"Team 1 listed twice this week",IF(COUNTIFS($A$2:$A$801,A227,$E$2:$E$801,G227)+COUNTIFS($A$2:$A$801,A227,$G$2:$G$801,G227)&gt;1,"Team 2 listed twice this week",""))))))))</f>
        <v/>
      </c>
    </row>
    <row r="228">
      <c r="A228" s="11" t="n"/>
      <c r="B228" s="9">
        <f>IF(A228="","",IFERROR(INDEX(Lists!$G$2:$G$7,MATCH(A228,Lists!$F$2:$F$7,0)),"?"))</f>
        <v/>
      </c>
      <c r="C228" s="4" t="n"/>
      <c r="D228" s="4" t="n"/>
      <c r="E228" s="4" t="n"/>
      <c r="F228" s="11" t="n"/>
      <c r="G228" s="4" t="n"/>
      <c r="H228" s="11" t="n"/>
      <c r="I228" s="11" t="n"/>
      <c r="J228" s="9">
        <f>IF(OR(F228="",H228=""),"",IF(F228&gt;H228,E228,IF(H228&gt;F228,G228,"")))</f>
        <v/>
      </c>
      <c r="K228" s="4" t="n"/>
      <c r="L228" s="9">
        <f>IF(COUNTA(A228,C228,D228,E228,F228,G228,H228,I228)=0,"",IF(OR(A228="",C228="",E228="",G228=""),"Missing week/class/team",IF(AND(D228="",I228&lt;&gt;"Y"),"No chapter (forfeit?)",IF(AND(D228&lt;&gt;"",I228="Y"),"Forfeit has a chapter",IF(OR(F228="",H228=""),"Missing score",IF(F228=H228,"Tie score",IF(COUNTIFS($A$2:$A$801,A228,$E$2:$E$801,E228)+COUNTIFS($A$2:$A$801,A228,$G$2:$G$801,E228)&gt;1,"Team 1 listed twice this week",IF(COUNTIFS($A$2:$A$801,A228,$E$2:$E$801,G228)+COUNTIFS($A$2:$A$801,A228,$G$2:$G$801,G228)&gt;1,"Team 2 listed twice this week",""))))))))</f>
        <v/>
      </c>
    </row>
    <row r="229">
      <c r="A229" s="11" t="n"/>
      <c r="B229" s="9">
        <f>IF(A229="","",IFERROR(INDEX(Lists!$G$2:$G$7,MATCH(A229,Lists!$F$2:$F$7,0)),"?"))</f>
        <v/>
      </c>
      <c r="C229" s="4" t="n"/>
      <c r="D229" s="4" t="n"/>
      <c r="E229" s="4" t="n"/>
      <c r="F229" s="11" t="n"/>
      <c r="G229" s="4" t="n"/>
      <c r="H229" s="11" t="n"/>
      <c r="I229" s="11" t="n"/>
      <c r="J229" s="9">
        <f>IF(OR(F229="",H229=""),"",IF(F229&gt;H229,E229,IF(H229&gt;F229,G229,"")))</f>
        <v/>
      </c>
      <c r="K229" s="4" t="n"/>
      <c r="L229" s="9">
        <f>IF(COUNTA(A229,C229,D229,E229,F229,G229,H229,I229)=0,"",IF(OR(A229="",C229="",E229="",G229=""),"Missing week/class/team",IF(AND(D229="",I229&lt;&gt;"Y"),"No chapter (forfeit?)",IF(AND(D229&lt;&gt;"",I229="Y"),"Forfeit has a chapter",IF(OR(F229="",H229=""),"Missing score",IF(F229=H229,"Tie score",IF(COUNTIFS($A$2:$A$801,A229,$E$2:$E$801,E229)+COUNTIFS($A$2:$A$801,A229,$G$2:$G$801,E229)&gt;1,"Team 1 listed twice this week",IF(COUNTIFS($A$2:$A$801,A229,$E$2:$E$801,G229)+COUNTIFS($A$2:$A$801,A229,$G$2:$G$801,G229)&gt;1,"Team 2 listed twice this week",""))))))))</f>
        <v/>
      </c>
    </row>
    <row r="230">
      <c r="A230" s="11" t="n"/>
      <c r="B230" s="9">
        <f>IF(A230="","",IFERROR(INDEX(Lists!$G$2:$G$7,MATCH(A230,Lists!$F$2:$F$7,0)),"?"))</f>
        <v/>
      </c>
      <c r="C230" s="4" t="n"/>
      <c r="D230" s="4" t="n"/>
      <c r="E230" s="4" t="n"/>
      <c r="F230" s="11" t="n"/>
      <c r="G230" s="4" t="n"/>
      <c r="H230" s="11" t="n"/>
      <c r="I230" s="11" t="n"/>
      <c r="J230" s="9">
        <f>IF(OR(F230="",H230=""),"",IF(F230&gt;H230,E230,IF(H230&gt;F230,G230,"")))</f>
        <v/>
      </c>
      <c r="K230" s="4" t="n"/>
      <c r="L230" s="9">
        <f>IF(COUNTA(A230,C230,D230,E230,F230,G230,H230,I230)=0,"",IF(OR(A230="",C230="",E230="",G230=""),"Missing week/class/team",IF(AND(D230="",I230&lt;&gt;"Y"),"No chapter (forfeit?)",IF(AND(D230&lt;&gt;"",I230="Y"),"Forfeit has a chapter",IF(OR(F230="",H230=""),"Missing score",IF(F230=H230,"Tie score",IF(COUNTIFS($A$2:$A$801,A230,$E$2:$E$801,E230)+COUNTIFS($A$2:$A$801,A230,$G$2:$G$801,E230)&gt;1,"Team 1 listed twice this week",IF(COUNTIFS($A$2:$A$801,A230,$E$2:$E$801,G230)+COUNTIFS($A$2:$A$801,A230,$G$2:$G$801,G230)&gt;1,"Team 2 listed twice this week",""))))))))</f>
        <v/>
      </c>
    </row>
    <row r="231">
      <c r="A231" s="11" t="n"/>
      <c r="B231" s="9">
        <f>IF(A231="","",IFERROR(INDEX(Lists!$G$2:$G$7,MATCH(A231,Lists!$F$2:$F$7,0)),"?"))</f>
        <v/>
      </c>
      <c r="C231" s="4" t="n"/>
      <c r="D231" s="4" t="n"/>
      <c r="E231" s="4" t="n"/>
      <c r="F231" s="11" t="n"/>
      <c r="G231" s="4" t="n"/>
      <c r="H231" s="11" t="n"/>
      <c r="I231" s="11" t="n"/>
      <c r="J231" s="9">
        <f>IF(OR(F231="",H231=""),"",IF(F231&gt;H231,E231,IF(H231&gt;F231,G231,"")))</f>
        <v/>
      </c>
      <c r="K231" s="4" t="n"/>
      <c r="L231" s="9">
        <f>IF(COUNTA(A231,C231,D231,E231,F231,G231,H231,I231)=0,"",IF(OR(A231="",C231="",E231="",G231=""),"Missing week/class/team",IF(AND(D231="",I231&lt;&gt;"Y"),"No chapter (forfeit?)",IF(AND(D231&lt;&gt;"",I231="Y"),"Forfeit has a chapter",IF(OR(F231="",H231=""),"Missing score",IF(F231=H231,"Tie score",IF(COUNTIFS($A$2:$A$801,A231,$E$2:$E$801,E231)+COUNTIFS($A$2:$A$801,A231,$G$2:$G$801,E231)&gt;1,"Team 1 listed twice this week",IF(COUNTIFS($A$2:$A$801,A231,$E$2:$E$801,G231)+COUNTIFS($A$2:$A$801,A231,$G$2:$G$801,G231)&gt;1,"Team 2 listed twice this week",""))))))))</f>
        <v/>
      </c>
    </row>
    <row r="232">
      <c r="A232" s="11" t="n"/>
      <c r="B232" s="9">
        <f>IF(A232="","",IFERROR(INDEX(Lists!$G$2:$G$7,MATCH(A232,Lists!$F$2:$F$7,0)),"?"))</f>
        <v/>
      </c>
      <c r="C232" s="4" t="n"/>
      <c r="D232" s="4" t="n"/>
      <c r="E232" s="4" t="n"/>
      <c r="F232" s="11" t="n"/>
      <c r="G232" s="4" t="n"/>
      <c r="H232" s="11" t="n"/>
      <c r="I232" s="11" t="n"/>
      <c r="J232" s="9">
        <f>IF(OR(F232="",H232=""),"",IF(F232&gt;H232,E232,IF(H232&gt;F232,G232,"")))</f>
        <v/>
      </c>
      <c r="K232" s="4" t="n"/>
      <c r="L232" s="9">
        <f>IF(COUNTA(A232,C232,D232,E232,F232,G232,H232,I232)=0,"",IF(OR(A232="",C232="",E232="",G232=""),"Missing week/class/team",IF(AND(D232="",I232&lt;&gt;"Y"),"No chapter (forfeit?)",IF(AND(D232&lt;&gt;"",I232="Y"),"Forfeit has a chapter",IF(OR(F232="",H232=""),"Missing score",IF(F232=H232,"Tie score",IF(COUNTIFS($A$2:$A$801,A232,$E$2:$E$801,E232)+COUNTIFS($A$2:$A$801,A232,$G$2:$G$801,E232)&gt;1,"Team 1 listed twice this week",IF(COUNTIFS($A$2:$A$801,A232,$E$2:$E$801,G232)+COUNTIFS($A$2:$A$801,A232,$G$2:$G$801,G232)&gt;1,"Team 2 listed twice this week",""))))))))</f>
        <v/>
      </c>
    </row>
    <row r="233">
      <c r="A233" s="11" t="n"/>
      <c r="B233" s="9">
        <f>IF(A233="","",IFERROR(INDEX(Lists!$G$2:$G$7,MATCH(A233,Lists!$F$2:$F$7,0)),"?"))</f>
        <v/>
      </c>
      <c r="C233" s="4" t="n"/>
      <c r="D233" s="4" t="n"/>
      <c r="E233" s="4" t="n"/>
      <c r="F233" s="11" t="n"/>
      <c r="G233" s="4" t="n"/>
      <c r="H233" s="11" t="n"/>
      <c r="I233" s="11" t="n"/>
      <c r="J233" s="9">
        <f>IF(OR(F233="",H233=""),"",IF(F233&gt;H233,E233,IF(H233&gt;F233,G233,"")))</f>
        <v/>
      </c>
      <c r="K233" s="4" t="n"/>
      <c r="L233" s="9">
        <f>IF(COUNTA(A233,C233,D233,E233,F233,G233,H233,I233)=0,"",IF(OR(A233="",C233="",E233="",G233=""),"Missing week/class/team",IF(AND(D233="",I233&lt;&gt;"Y"),"No chapter (forfeit?)",IF(AND(D233&lt;&gt;"",I233="Y"),"Forfeit has a chapter",IF(OR(F233="",H233=""),"Missing score",IF(F233=H233,"Tie score",IF(COUNTIFS($A$2:$A$801,A233,$E$2:$E$801,E233)+COUNTIFS($A$2:$A$801,A233,$G$2:$G$801,E233)&gt;1,"Team 1 listed twice this week",IF(COUNTIFS($A$2:$A$801,A233,$E$2:$E$801,G233)+COUNTIFS($A$2:$A$801,A233,$G$2:$G$801,G233)&gt;1,"Team 2 listed twice this week",""))))))))</f>
        <v/>
      </c>
    </row>
    <row r="234">
      <c r="A234" s="11" t="n"/>
      <c r="B234" s="9">
        <f>IF(A234="","",IFERROR(INDEX(Lists!$G$2:$G$7,MATCH(A234,Lists!$F$2:$F$7,0)),"?"))</f>
        <v/>
      </c>
      <c r="C234" s="4" t="n"/>
      <c r="D234" s="4" t="n"/>
      <c r="E234" s="4" t="n"/>
      <c r="F234" s="11" t="n"/>
      <c r="G234" s="4" t="n"/>
      <c r="H234" s="11" t="n"/>
      <c r="I234" s="11" t="n"/>
      <c r="J234" s="9">
        <f>IF(OR(F234="",H234=""),"",IF(F234&gt;H234,E234,IF(H234&gt;F234,G234,"")))</f>
        <v/>
      </c>
      <c r="K234" s="4" t="n"/>
      <c r="L234" s="9">
        <f>IF(COUNTA(A234,C234,D234,E234,F234,G234,H234,I234)=0,"",IF(OR(A234="",C234="",E234="",G234=""),"Missing week/class/team",IF(AND(D234="",I234&lt;&gt;"Y"),"No chapter (forfeit?)",IF(AND(D234&lt;&gt;"",I234="Y"),"Forfeit has a chapter",IF(OR(F234="",H234=""),"Missing score",IF(F234=H234,"Tie score",IF(COUNTIFS($A$2:$A$801,A234,$E$2:$E$801,E234)+COUNTIFS($A$2:$A$801,A234,$G$2:$G$801,E234)&gt;1,"Team 1 listed twice this week",IF(COUNTIFS($A$2:$A$801,A234,$E$2:$E$801,G234)+COUNTIFS($A$2:$A$801,A234,$G$2:$G$801,G234)&gt;1,"Team 2 listed twice this week",""))))))))</f>
        <v/>
      </c>
    </row>
    <row r="235">
      <c r="A235" s="11" t="n"/>
      <c r="B235" s="9">
        <f>IF(A235="","",IFERROR(INDEX(Lists!$G$2:$G$7,MATCH(A235,Lists!$F$2:$F$7,0)),"?"))</f>
        <v/>
      </c>
      <c r="C235" s="4" t="n"/>
      <c r="D235" s="4" t="n"/>
      <c r="E235" s="4" t="n"/>
      <c r="F235" s="11" t="n"/>
      <c r="G235" s="4" t="n"/>
      <c r="H235" s="11" t="n"/>
      <c r="I235" s="11" t="n"/>
      <c r="J235" s="9">
        <f>IF(OR(F235="",H235=""),"",IF(F235&gt;H235,E235,IF(H235&gt;F235,G235,"")))</f>
        <v/>
      </c>
      <c r="K235" s="4" t="n"/>
      <c r="L235" s="9">
        <f>IF(COUNTA(A235,C235,D235,E235,F235,G235,H235,I235)=0,"",IF(OR(A235="",C235="",E235="",G235=""),"Missing week/class/team",IF(AND(D235="",I235&lt;&gt;"Y"),"No chapter (forfeit?)",IF(AND(D235&lt;&gt;"",I235="Y"),"Forfeit has a chapter",IF(OR(F235="",H235=""),"Missing score",IF(F235=H235,"Tie score",IF(COUNTIFS($A$2:$A$801,A235,$E$2:$E$801,E235)+COUNTIFS($A$2:$A$801,A235,$G$2:$G$801,E235)&gt;1,"Team 1 listed twice this week",IF(COUNTIFS($A$2:$A$801,A235,$E$2:$E$801,G235)+COUNTIFS($A$2:$A$801,A235,$G$2:$G$801,G235)&gt;1,"Team 2 listed twice this week",""))))))))</f>
        <v/>
      </c>
    </row>
    <row r="236">
      <c r="A236" s="11" t="n"/>
      <c r="B236" s="9">
        <f>IF(A236="","",IFERROR(INDEX(Lists!$G$2:$G$7,MATCH(A236,Lists!$F$2:$F$7,0)),"?"))</f>
        <v/>
      </c>
      <c r="C236" s="4" t="n"/>
      <c r="D236" s="4" t="n"/>
      <c r="E236" s="4" t="n"/>
      <c r="F236" s="11" t="n"/>
      <c r="G236" s="4" t="n"/>
      <c r="H236" s="11" t="n"/>
      <c r="I236" s="11" t="n"/>
      <c r="J236" s="9">
        <f>IF(OR(F236="",H236=""),"",IF(F236&gt;H236,E236,IF(H236&gt;F236,G236,"")))</f>
        <v/>
      </c>
      <c r="K236" s="4" t="n"/>
      <c r="L236" s="9">
        <f>IF(COUNTA(A236,C236,D236,E236,F236,G236,H236,I236)=0,"",IF(OR(A236="",C236="",E236="",G236=""),"Missing week/class/team",IF(AND(D236="",I236&lt;&gt;"Y"),"No chapter (forfeit?)",IF(AND(D236&lt;&gt;"",I236="Y"),"Forfeit has a chapter",IF(OR(F236="",H236=""),"Missing score",IF(F236=H236,"Tie score",IF(COUNTIFS($A$2:$A$801,A236,$E$2:$E$801,E236)+COUNTIFS($A$2:$A$801,A236,$G$2:$G$801,E236)&gt;1,"Team 1 listed twice this week",IF(COUNTIFS($A$2:$A$801,A236,$E$2:$E$801,G236)+COUNTIFS($A$2:$A$801,A236,$G$2:$G$801,G236)&gt;1,"Team 2 listed twice this week",""))))))))</f>
        <v/>
      </c>
    </row>
    <row r="237">
      <c r="A237" s="11" t="n"/>
      <c r="B237" s="9">
        <f>IF(A237="","",IFERROR(INDEX(Lists!$G$2:$G$7,MATCH(A237,Lists!$F$2:$F$7,0)),"?"))</f>
        <v/>
      </c>
      <c r="C237" s="4" t="n"/>
      <c r="D237" s="4" t="n"/>
      <c r="E237" s="4" t="n"/>
      <c r="F237" s="11" t="n"/>
      <c r="G237" s="4" t="n"/>
      <c r="H237" s="11" t="n"/>
      <c r="I237" s="11" t="n"/>
      <c r="J237" s="9">
        <f>IF(OR(F237="",H237=""),"",IF(F237&gt;H237,E237,IF(H237&gt;F237,G237,"")))</f>
        <v/>
      </c>
      <c r="K237" s="4" t="n"/>
      <c r="L237" s="9">
        <f>IF(COUNTA(A237,C237,D237,E237,F237,G237,H237,I237)=0,"",IF(OR(A237="",C237="",E237="",G237=""),"Missing week/class/team",IF(AND(D237="",I237&lt;&gt;"Y"),"No chapter (forfeit?)",IF(AND(D237&lt;&gt;"",I237="Y"),"Forfeit has a chapter",IF(OR(F237="",H237=""),"Missing score",IF(F237=H237,"Tie score",IF(COUNTIFS($A$2:$A$801,A237,$E$2:$E$801,E237)+COUNTIFS($A$2:$A$801,A237,$G$2:$G$801,E237)&gt;1,"Team 1 listed twice this week",IF(COUNTIFS($A$2:$A$801,A237,$E$2:$E$801,G237)+COUNTIFS($A$2:$A$801,A237,$G$2:$G$801,G237)&gt;1,"Team 2 listed twice this week",""))))))))</f>
        <v/>
      </c>
    </row>
    <row r="238">
      <c r="A238" s="11" t="n"/>
      <c r="B238" s="9">
        <f>IF(A238="","",IFERROR(INDEX(Lists!$G$2:$G$7,MATCH(A238,Lists!$F$2:$F$7,0)),"?"))</f>
        <v/>
      </c>
      <c r="C238" s="4" t="n"/>
      <c r="D238" s="4" t="n"/>
      <c r="E238" s="4" t="n"/>
      <c r="F238" s="11" t="n"/>
      <c r="G238" s="4" t="n"/>
      <c r="H238" s="11" t="n"/>
      <c r="I238" s="11" t="n"/>
      <c r="J238" s="9">
        <f>IF(OR(F238="",H238=""),"",IF(F238&gt;H238,E238,IF(H238&gt;F238,G238,"")))</f>
        <v/>
      </c>
      <c r="K238" s="4" t="n"/>
      <c r="L238" s="9">
        <f>IF(COUNTA(A238,C238,D238,E238,F238,G238,H238,I238)=0,"",IF(OR(A238="",C238="",E238="",G238=""),"Missing week/class/team",IF(AND(D238="",I238&lt;&gt;"Y"),"No chapter (forfeit?)",IF(AND(D238&lt;&gt;"",I238="Y"),"Forfeit has a chapter",IF(OR(F238="",H238=""),"Missing score",IF(F238=H238,"Tie score",IF(COUNTIFS($A$2:$A$801,A238,$E$2:$E$801,E238)+COUNTIFS($A$2:$A$801,A238,$G$2:$G$801,E238)&gt;1,"Team 1 listed twice this week",IF(COUNTIFS($A$2:$A$801,A238,$E$2:$E$801,G238)+COUNTIFS($A$2:$A$801,A238,$G$2:$G$801,G238)&gt;1,"Team 2 listed twice this week",""))))))))</f>
        <v/>
      </c>
    </row>
    <row r="239">
      <c r="A239" s="11" t="n"/>
      <c r="B239" s="9">
        <f>IF(A239="","",IFERROR(INDEX(Lists!$G$2:$G$7,MATCH(A239,Lists!$F$2:$F$7,0)),"?"))</f>
        <v/>
      </c>
      <c r="C239" s="4" t="n"/>
      <c r="D239" s="4" t="n"/>
      <c r="E239" s="4" t="n"/>
      <c r="F239" s="11" t="n"/>
      <c r="G239" s="4" t="n"/>
      <c r="H239" s="11" t="n"/>
      <c r="I239" s="11" t="n"/>
      <c r="J239" s="9">
        <f>IF(OR(F239="",H239=""),"",IF(F239&gt;H239,E239,IF(H239&gt;F239,G239,"")))</f>
        <v/>
      </c>
      <c r="K239" s="4" t="n"/>
      <c r="L239" s="9">
        <f>IF(COUNTA(A239,C239,D239,E239,F239,G239,H239,I239)=0,"",IF(OR(A239="",C239="",E239="",G239=""),"Missing week/class/team",IF(AND(D239="",I239&lt;&gt;"Y"),"No chapter (forfeit?)",IF(AND(D239&lt;&gt;"",I239="Y"),"Forfeit has a chapter",IF(OR(F239="",H239=""),"Missing score",IF(F239=H239,"Tie score",IF(COUNTIFS($A$2:$A$801,A239,$E$2:$E$801,E239)+COUNTIFS($A$2:$A$801,A239,$G$2:$G$801,E239)&gt;1,"Team 1 listed twice this week",IF(COUNTIFS($A$2:$A$801,A239,$E$2:$E$801,G239)+COUNTIFS($A$2:$A$801,A239,$G$2:$G$801,G239)&gt;1,"Team 2 listed twice this week",""))))))))</f>
        <v/>
      </c>
    </row>
    <row r="240">
      <c r="A240" s="11" t="n"/>
      <c r="B240" s="9">
        <f>IF(A240="","",IFERROR(INDEX(Lists!$G$2:$G$7,MATCH(A240,Lists!$F$2:$F$7,0)),"?"))</f>
        <v/>
      </c>
      <c r="C240" s="4" t="n"/>
      <c r="D240" s="4" t="n"/>
      <c r="E240" s="4" t="n"/>
      <c r="F240" s="11" t="n"/>
      <c r="G240" s="4" t="n"/>
      <c r="H240" s="11" t="n"/>
      <c r="I240" s="11" t="n"/>
      <c r="J240" s="9">
        <f>IF(OR(F240="",H240=""),"",IF(F240&gt;H240,E240,IF(H240&gt;F240,G240,"")))</f>
        <v/>
      </c>
      <c r="K240" s="4" t="n"/>
      <c r="L240" s="9">
        <f>IF(COUNTA(A240,C240,D240,E240,F240,G240,H240,I240)=0,"",IF(OR(A240="",C240="",E240="",G240=""),"Missing week/class/team",IF(AND(D240="",I240&lt;&gt;"Y"),"No chapter (forfeit?)",IF(AND(D240&lt;&gt;"",I240="Y"),"Forfeit has a chapter",IF(OR(F240="",H240=""),"Missing score",IF(F240=H240,"Tie score",IF(COUNTIFS($A$2:$A$801,A240,$E$2:$E$801,E240)+COUNTIFS($A$2:$A$801,A240,$G$2:$G$801,E240)&gt;1,"Team 1 listed twice this week",IF(COUNTIFS($A$2:$A$801,A240,$E$2:$E$801,G240)+COUNTIFS($A$2:$A$801,A240,$G$2:$G$801,G240)&gt;1,"Team 2 listed twice this week",""))))))))</f>
        <v/>
      </c>
    </row>
    <row r="241">
      <c r="A241" s="11" t="n"/>
      <c r="B241" s="9">
        <f>IF(A241="","",IFERROR(INDEX(Lists!$G$2:$G$7,MATCH(A241,Lists!$F$2:$F$7,0)),"?"))</f>
        <v/>
      </c>
      <c r="C241" s="4" t="n"/>
      <c r="D241" s="4" t="n"/>
      <c r="E241" s="4" t="n"/>
      <c r="F241" s="11" t="n"/>
      <c r="G241" s="4" t="n"/>
      <c r="H241" s="11" t="n"/>
      <c r="I241" s="11" t="n"/>
      <c r="J241" s="9">
        <f>IF(OR(F241="",H241=""),"",IF(F241&gt;H241,E241,IF(H241&gt;F241,G241,"")))</f>
        <v/>
      </c>
      <c r="K241" s="4" t="n"/>
      <c r="L241" s="9">
        <f>IF(COUNTA(A241,C241,D241,E241,F241,G241,H241,I241)=0,"",IF(OR(A241="",C241="",E241="",G241=""),"Missing week/class/team",IF(AND(D241="",I241&lt;&gt;"Y"),"No chapter (forfeit?)",IF(AND(D241&lt;&gt;"",I241="Y"),"Forfeit has a chapter",IF(OR(F241="",H241=""),"Missing score",IF(F241=H241,"Tie score",IF(COUNTIFS($A$2:$A$801,A241,$E$2:$E$801,E241)+COUNTIFS($A$2:$A$801,A241,$G$2:$G$801,E241)&gt;1,"Team 1 listed twice this week",IF(COUNTIFS($A$2:$A$801,A241,$E$2:$E$801,G241)+COUNTIFS($A$2:$A$801,A241,$G$2:$G$801,G241)&gt;1,"Team 2 listed twice this week",""))))))))</f>
        <v/>
      </c>
    </row>
    <row r="242">
      <c r="A242" s="11" t="n"/>
      <c r="B242" s="9">
        <f>IF(A242="","",IFERROR(INDEX(Lists!$G$2:$G$7,MATCH(A242,Lists!$F$2:$F$7,0)),"?"))</f>
        <v/>
      </c>
      <c r="C242" s="4" t="n"/>
      <c r="D242" s="4" t="n"/>
      <c r="E242" s="4" t="n"/>
      <c r="F242" s="11" t="n"/>
      <c r="G242" s="4" t="n"/>
      <c r="H242" s="11" t="n"/>
      <c r="I242" s="11" t="n"/>
      <c r="J242" s="9">
        <f>IF(OR(F242="",H242=""),"",IF(F242&gt;H242,E242,IF(H242&gt;F242,G242,"")))</f>
        <v/>
      </c>
      <c r="K242" s="4" t="n"/>
      <c r="L242" s="9">
        <f>IF(COUNTA(A242,C242,D242,E242,F242,G242,H242,I242)=0,"",IF(OR(A242="",C242="",E242="",G242=""),"Missing week/class/team",IF(AND(D242="",I242&lt;&gt;"Y"),"No chapter (forfeit?)",IF(AND(D242&lt;&gt;"",I242="Y"),"Forfeit has a chapter",IF(OR(F242="",H242=""),"Missing score",IF(F242=H242,"Tie score",IF(COUNTIFS($A$2:$A$801,A242,$E$2:$E$801,E242)+COUNTIFS($A$2:$A$801,A242,$G$2:$G$801,E242)&gt;1,"Team 1 listed twice this week",IF(COUNTIFS($A$2:$A$801,A242,$E$2:$E$801,G242)+COUNTIFS($A$2:$A$801,A242,$G$2:$G$801,G242)&gt;1,"Team 2 listed twice this week",""))))))))</f>
        <v/>
      </c>
    </row>
    <row r="243">
      <c r="A243" s="11" t="n"/>
      <c r="B243" s="9">
        <f>IF(A243="","",IFERROR(INDEX(Lists!$G$2:$G$7,MATCH(A243,Lists!$F$2:$F$7,0)),"?"))</f>
        <v/>
      </c>
      <c r="C243" s="4" t="n"/>
      <c r="D243" s="4" t="n"/>
      <c r="E243" s="4" t="n"/>
      <c r="F243" s="11" t="n"/>
      <c r="G243" s="4" t="n"/>
      <c r="H243" s="11" t="n"/>
      <c r="I243" s="11" t="n"/>
      <c r="J243" s="9">
        <f>IF(OR(F243="",H243=""),"",IF(F243&gt;H243,E243,IF(H243&gt;F243,G243,"")))</f>
        <v/>
      </c>
      <c r="K243" s="4" t="n"/>
      <c r="L243" s="9">
        <f>IF(COUNTA(A243,C243,D243,E243,F243,G243,H243,I243)=0,"",IF(OR(A243="",C243="",E243="",G243=""),"Missing week/class/team",IF(AND(D243="",I243&lt;&gt;"Y"),"No chapter (forfeit?)",IF(AND(D243&lt;&gt;"",I243="Y"),"Forfeit has a chapter",IF(OR(F243="",H243=""),"Missing score",IF(F243=H243,"Tie score",IF(COUNTIFS($A$2:$A$801,A243,$E$2:$E$801,E243)+COUNTIFS($A$2:$A$801,A243,$G$2:$G$801,E243)&gt;1,"Team 1 listed twice this week",IF(COUNTIFS($A$2:$A$801,A243,$E$2:$E$801,G243)+COUNTIFS($A$2:$A$801,A243,$G$2:$G$801,G243)&gt;1,"Team 2 listed twice this week",""))))))))</f>
        <v/>
      </c>
    </row>
    <row r="244">
      <c r="A244" s="11" t="n"/>
      <c r="B244" s="9">
        <f>IF(A244="","",IFERROR(INDEX(Lists!$G$2:$G$7,MATCH(A244,Lists!$F$2:$F$7,0)),"?"))</f>
        <v/>
      </c>
      <c r="C244" s="4" t="n"/>
      <c r="D244" s="4" t="n"/>
      <c r="E244" s="4" t="n"/>
      <c r="F244" s="11" t="n"/>
      <c r="G244" s="4" t="n"/>
      <c r="H244" s="11" t="n"/>
      <c r="I244" s="11" t="n"/>
      <c r="J244" s="9">
        <f>IF(OR(F244="",H244=""),"",IF(F244&gt;H244,E244,IF(H244&gt;F244,G244,"")))</f>
        <v/>
      </c>
      <c r="K244" s="4" t="n"/>
      <c r="L244" s="9">
        <f>IF(COUNTA(A244,C244,D244,E244,F244,G244,H244,I244)=0,"",IF(OR(A244="",C244="",E244="",G244=""),"Missing week/class/team",IF(AND(D244="",I244&lt;&gt;"Y"),"No chapter (forfeit?)",IF(AND(D244&lt;&gt;"",I244="Y"),"Forfeit has a chapter",IF(OR(F244="",H244=""),"Missing score",IF(F244=H244,"Tie score",IF(COUNTIFS($A$2:$A$801,A244,$E$2:$E$801,E244)+COUNTIFS($A$2:$A$801,A244,$G$2:$G$801,E244)&gt;1,"Team 1 listed twice this week",IF(COUNTIFS($A$2:$A$801,A244,$E$2:$E$801,G244)+COUNTIFS($A$2:$A$801,A244,$G$2:$G$801,G244)&gt;1,"Team 2 listed twice this week",""))))))))</f>
        <v/>
      </c>
    </row>
    <row r="245">
      <c r="A245" s="11" t="n"/>
      <c r="B245" s="9">
        <f>IF(A245="","",IFERROR(INDEX(Lists!$G$2:$G$7,MATCH(A245,Lists!$F$2:$F$7,0)),"?"))</f>
        <v/>
      </c>
      <c r="C245" s="4" t="n"/>
      <c r="D245" s="4" t="n"/>
      <c r="E245" s="4" t="n"/>
      <c r="F245" s="11" t="n"/>
      <c r="G245" s="4" t="n"/>
      <c r="H245" s="11" t="n"/>
      <c r="I245" s="11" t="n"/>
      <c r="J245" s="9">
        <f>IF(OR(F245="",H245=""),"",IF(F245&gt;H245,E245,IF(H245&gt;F245,G245,"")))</f>
        <v/>
      </c>
      <c r="K245" s="4" t="n"/>
      <c r="L245" s="9">
        <f>IF(COUNTA(A245,C245,D245,E245,F245,G245,H245,I245)=0,"",IF(OR(A245="",C245="",E245="",G245=""),"Missing week/class/team",IF(AND(D245="",I245&lt;&gt;"Y"),"No chapter (forfeit?)",IF(AND(D245&lt;&gt;"",I245="Y"),"Forfeit has a chapter",IF(OR(F245="",H245=""),"Missing score",IF(F245=H245,"Tie score",IF(COUNTIFS($A$2:$A$801,A245,$E$2:$E$801,E245)+COUNTIFS($A$2:$A$801,A245,$G$2:$G$801,E245)&gt;1,"Team 1 listed twice this week",IF(COUNTIFS($A$2:$A$801,A245,$E$2:$E$801,G245)+COUNTIFS($A$2:$A$801,A245,$G$2:$G$801,G245)&gt;1,"Team 2 listed twice this week",""))))))))</f>
        <v/>
      </c>
    </row>
    <row r="246">
      <c r="A246" s="11" t="n"/>
      <c r="B246" s="9">
        <f>IF(A246="","",IFERROR(INDEX(Lists!$G$2:$G$7,MATCH(A246,Lists!$F$2:$F$7,0)),"?"))</f>
        <v/>
      </c>
      <c r="C246" s="4" t="n"/>
      <c r="D246" s="4" t="n"/>
      <c r="E246" s="4" t="n"/>
      <c r="F246" s="11" t="n"/>
      <c r="G246" s="4" t="n"/>
      <c r="H246" s="11" t="n"/>
      <c r="I246" s="11" t="n"/>
      <c r="J246" s="9">
        <f>IF(OR(F246="",H246=""),"",IF(F246&gt;H246,E246,IF(H246&gt;F246,G246,"")))</f>
        <v/>
      </c>
      <c r="K246" s="4" t="n"/>
      <c r="L246" s="9">
        <f>IF(COUNTA(A246,C246,D246,E246,F246,G246,H246,I246)=0,"",IF(OR(A246="",C246="",E246="",G246=""),"Missing week/class/team",IF(AND(D246="",I246&lt;&gt;"Y"),"No chapter (forfeit?)",IF(AND(D246&lt;&gt;"",I246="Y"),"Forfeit has a chapter",IF(OR(F246="",H246=""),"Missing score",IF(F246=H246,"Tie score",IF(COUNTIFS($A$2:$A$801,A246,$E$2:$E$801,E246)+COUNTIFS($A$2:$A$801,A246,$G$2:$G$801,E246)&gt;1,"Team 1 listed twice this week",IF(COUNTIFS($A$2:$A$801,A246,$E$2:$E$801,G246)+COUNTIFS($A$2:$A$801,A246,$G$2:$G$801,G246)&gt;1,"Team 2 listed twice this week",""))))))))</f>
        <v/>
      </c>
    </row>
    <row r="247">
      <c r="A247" s="11" t="n"/>
      <c r="B247" s="9">
        <f>IF(A247="","",IFERROR(INDEX(Lists!$G$2:$G$7,MATCH(A247,Lists!$F$2:$F$7,0)),"?"))</f>
        <v/>
      </c>
      <c r="C247" s="4" t="n"/>
      <c r="D247" s="4" t="n"/>
      <c r="E247" s="4" t="n"/>
      <c r="F247" s="11" t="n"/>
      <c r="G247" s="4" t="n"/>
      <c r="H247" s="11" t="n"/>
      <c r="I247" s="11" t="n"/>
      <c r="J247" s="9">
        <f>IF(OR(F247="",H247=""),"",IF(F247&gt;H247,E247,IF(H247&gt;F247,G247,"")))</f>
        <v/>
      </c>
      <c r="K247" s="4" t="n"/>
      <c r="L247" s="9">
        <f>IF(COUNTA(A247,C247,D247,E247,F247,G247,H247,I247)=0,"",IF(OR(A247="",C247="",E247="",G247=""),"Missing week/class/team",IF(AND(D247="",I247&lt;&gt;"Y"),"No chapter (forfeit?)",IF(AND(D247&lt;&gt;"",I247="Y"),"Forfeit has a chapter",IF(OR(F247="",H247=""),"Missing score",IF(F247=H247,"Tie score",IF(COUNTIFS($A$2:$A$801,A247,$E$2:$E$801,E247)+COUNTIFS($A$2:$A$801,A247,$G$2:$G$801,E247)&gt;1,"Team 1 listed twice this week",IF(COUNTIFS($A$2:$A$801,A247,$E$2:$E$801,G247)+COUNTIFS($A$2:$A$801,A247,$G$2:$G$801,G247)&gt;1,"Team 2 listed twice this week",""))))))))</f>
        <v/>
      </c>
    </row>
    <row r="248">
      <c r="A248" s="11" t="n"/>
      <c r="B248" s="9">
        <f>IF(A248="","",IFERROR(INDEX(Lists!$G$2:$G$7,MATCH(A248,Lists!$F$2:$F$7,0)),"?"))</f>
        <v/>
      </c>
      <c r="C248" s="4" t="n"/>
      <c r="D248" s="4" t="n"/>
      <c r="E248" s="4" t="n"/>
      <c r="F248" s="11" t="n"/>
      <c r="G248" s="4" t="n"/>
      <c r="H248" s="11" t="n"/>
      <c r="I248" s="11" t="n"/>
      <c r="J248" s="9">
        <f>IF(OR(F248="",H248=""),"",IF(F248&gt;H248,E248,IF(H248&gt;F248,G248,"")))</f>
        <v/>
      </c>
      <c r="K248" s="4" t="n"/>
      <c r="L248" s="9">
        <f>IF(COUNTA(A248,C248,D248,E248,F248,G248,H248,I248)=0,"",IF(OR(A248="",C248="",E248="",G248=""),"Missing week/class/team",IF(AND(D248="",I248&lt;&gt;"Y"),"No chapter (forfeit?)",IF(AND(D248&lt;&gt;"",I248="Y"),"Forfeit has a chapter",IF(OR(F248="",H248=""),"Missing score",IF(F248=H248,"Tie score",IF(COUNTIFS($A$2:$A$801,A248,$E$2:$E$801,E248)+COUNTIFS($A$2:$A$801,A248,$G$2:$G$801,E248)&gt;1,"Team 1 listed twice this week",IF(COUNTIFS($A$2:$A$801,A248,$E$2:$E$801,G248)+COUNTIFS($A$2:$A$801,A248,$G$2:$G$801,G248)&gt;1,"Team 2 listed twice this week",""))))))))</f>
        <v/>
      </c>
    </row>
    <row r="249">
      <c r="A249" s="11" t="n"/>
      <c r="B249" s="9">
        <f>IF(A249="","",IFERROR(INDEX(Lists!$G$2:$G$7,MATCH(A249,Lists!$F$2:$F$7,0)),"?"))</f>
        <v/>
      </c>
      <c r="C249" s="4" t="n"/>
      <c r="D249" s="4" t="n"/>
      <c r="E249" s="4" t="n"/>
      <c r="F249" s="11" t="n"/>
      <c r="G249" s="4" t="n"/>
      <c r="H249" s="11" t="n"/>
      <c r="I249" s="11" t="n"/>
      <c r="J249" s="9">
        <f>IF(OR(F249="",H249=""),"",IF(F249&gt;H249,E249,IF(H249&gt;F249,G249,"")))</f>
        <v/>
      </c>
      <c r="K249" s="4" t="n"/>
      <c r="L249" s="9">
        <f>IF(COUNTA(A249,C249,D249,E249,F249,G249,H249,I249)=0,"",IF(OR(A249="",C249="",E249="",G249=""),"Missing week/class/team",IF(AND(D249="",I249&lt;&gt;"Y"),"No chapter (forfeit?)",IF(AND(D249&lt;&gt;"",I249="Y"),"Forfeit has a chapter",IF(OR(F249="",H249=""),"Missing score",IF(F249=H249,"Tie score",IF(COUNTIFS($A$2:$A$801,A249,$E$2:$E$801,E249)+COUNTIFS($A$2:$A$801,A249,$G$2:$G$801,E249)&gt;1,"Team 1 listed twice this week",IF(COUNTIFS($A$2:$A$801,A249,$E$2:$E$801,G249)+COUNTIFS($A$2:$A$801,A249,$G$2:$G$801,G249)&gt;1,"Team 2 listed twice this week",""))))))))</f>
        <v/>
      </c>
    </row>
    <row r="250">
      <c r="A250" s="11" t="n"/>
      <c r="B250" s="9">
        <f>IF(A250="","",IFERROR(INDEX(Lists!$G$2:$G$7,MATCH(A250,Lists!$F$2:$F$7,0)),"?"))</f>
        <v/>
      </c>
      <c r="C250" s="4" t="n"/>
      <c r="D250" s="4" t="n"/>
      <c r="E250" s="4" t="n"/>
      <c r="F250" s="11" t="n"/>
      <c r="G250" s="4" t="n"/>
      <c r="H250" s="11" t="n"/>
      <c r="I250" s="11" t="n"/>
      <c r="J250" s="9">
        <f>IF(OR(F250="",H250=""),"",IF(F250&gt;H250,E250,IF(H250&gt;F250,G250,"")))</f>
        <v/>
      </c>
      <c r="K250" s="4" t="n"/>
      <c r="L250" s="9">
        <f>IF(COUNTA(A250,C250,D250,E250,F250,G250,H250,I250)=0,"",IF(OR(A250="",C250="",E250="",G250=""),"Missing week/class/team",IF(AND(D250="",I250&lt;&gt;"Y"),"No chapter (forfeit?)",IF(AND(D250&lt;&gt;"",I250="Y"),"Forfeit has a chapter",IF(OR(F250="",H250=""),"Missing score",IF(F250=H250,"Tie score",IF(COUNTIFS($A$2:$A$801,A250,$E$2:$E$801,E250)+COUNTIFS($A$2:$A$801,A250,$G$2:$G$801,E250)&gt;1,"Team 1 listed twice this week",IF(COUNTIFS($A$2:$A$801,A250,$E$2:$E$801,G250)+COUNTIFS($A$2:$A$801,A250,$G$2:$G$801,G250)&gt;1,"Team 2 listed twice this week",""))))))))</f>
        <v/>
      </c>
    </row>
    <row r="251">
      <c r="A251" s="11" t="n"/>
      <c r="B251" s="9">
        <f>IF(A251="","",IFERROR(INDEX(Lists!$G$2:$G$7,MATCH(A251,Lists!$F$2:$F$7,0)),"?"))</f>
        <v/>
      </c>
      <c r="C251" s="4" t="n"/>
      <c r="D251" s="4" t="n"/>
      <c r="E251" s="4" t="n"/>
      <c r="F251" s="11" t="n"/>
      <c r="G251" s="4" t="n"/>
      <c r="H251" s="11" t="n"/>
      <c r="I251" s="11" t="n"/>
      <c r="J251" s="9">
        <f>IF(OR(F251="",H251=""),"",IF(F251&gt;H251,E251,IF(H251&gt;F251,G251,"")))</f>
        <v/>
      </c>
      <c r="K251" s="4" t="n"/>
      <c r="L251" s="9">
        <f>IF(COUNTA(A251,C251,D251,E251,F251,G251,H251,I251)=0,"",IF(OR(A251="",C251="",E251="",G251=""),"Missing week/class/team",IF(AND(D251="",I251&lt;&gt;"Y"),"No chapter (forfeit?)",IF(AND(D251&lt;&gt;"",I251="Y"),"Forfeit has a chapter",IF(OR(F251="",H251=""),"Missing score",IF(F251=H251,"Tie score",IF(COUNTIFS($A$2:$A$801,A251,$E$2:$E$801,E251)+COUNTIFS($A$2:$A$801,A251,$G$2:$G$801,E251)&gt;1,"Team 1 listed twice this week",IF(COUNTIFS($A$2:$A$801,A251,$E$2:$E$801,G251)+COUNTIFS($A$2:$A$801,A251,$G$2:$G$801,G251)&gt;1,"Team 2 listed twice this week",""))))))))</f>
        <v/>
      </c>
    </row>
    <row r="252">
      <c r="A252" s="11" t="n"/>
      <c r="B252" s="9">
        <f>IF(A252="","",IFERROR(INDEX(Lists!$G$2:$G$7,MATCH(A252,Lists!$F$2:$F$7,0)),"?"))</f>
        <v/>
      </c>
      <c r="C252" s="4" t="n"/>
      <c r="D252" s="4" t="n"/>
      <c r="E252" s="4" t="n"/>
      <c r="F252" s="11" t="n"/>
      <c r="G252" s="4" t="n"/>
      <c r="H252" s="11" t="n"/>
      <c r="I252" s="11" t="n"/>
      <c r="J252" s="9">
        <f>IF(OR(F252="",H252=""),"",IF(F252&gt;H252,E252,IF(H252&gt;F252,G252,"")))</f>
        <v/>
      </c>
      <c r="K252" s="4" t="n"/>
      <c r="L252" s="9">
        <f>IF(COUNTA(A252,C252,D252,E252,F252,G252,H252,I252)=0,"",IF(OR(A252="",C252="",E252="",G252=""),"Missing week/class/team",IF(AND(D252="",I252&lt;&gt;"Y"),"No chapter (forfeit?)",IF(AND(D252&lt;&gt;"",I252="Y"),"Forfeit has a chapter",IF(OR(F252="",H252=""),"Missing score",IF(F252=H252,"Tie score",IF(COUNTIFS($A$2:$A$801,A252,$E$2:$E$801,E252)+COUNTIFS($A$2:$A$801,A252,$G$2:$G$801,E252)&gt;1,"Team 1 listed twice this week",IF(COUNTIFS($A$2:$A$801,A252,$E$2:$E$801,G252)+COUNTIFS($A$2:$A$801,A252,$G$2:$G$801,G252)&gt;1,"Team 2 listed twice this week",""))))))))</f>
        <v/>
      </c>
    </row>
    <row r="253">
      <c r="A253" s="11" t="n"/>
      <c r="B253" s="9">
        <f>IF(A253="","",IFERROR(INDEX(Lists!$G$2:$G$7,MATCH(A253,Lists!$F$2:$F$7,0)),"?"))</f>
        <v/>
      </c>
      <c r="C253" s="4" t="n"/>
      <c r="D253" s="4" t="n"/>
      <c r="E253" s="4" t="n"/>
      <c r="F253" s="11" t="n"/>
      <c r="G253" s="4" t="n"/>
      <c r="H253" s="11" t="n"/>
      <c r="I253" s="11" t="n"/>
      <c r="J253" s="9">
        <f>IF(OR(F253="",H253=""),"",IF(F253&gt;H253,E253,IF(H253&gt;F253,G253,"")))</f>
        <v/>
      </c>
      <c r="K253" s="4" t="n"/>
      <c r="L253" s="9">
        <f>IF(COUNTA(A253,C253,D253,E253,F253,G253,H253,I253)=0,"",IF(OR(A253="",C253="",E253="",G253=""),"Missing week/class/team",IF(AND(D253="",I253&lt;&gt;"Y"),"No chapter (forfeit?)",IF(AND(D253&lt;&gt;"",I253="Y"),"Forfeit has a chapter",IF(OR(F253="",H253=""),"Missing score",IF(F253=H253,"Tie score",IF(COUNTIFS($A$2:$A$801,A253,$E$2:$E$801,E253)+COUNTIFS($A$2:$A$801,A253,$G$2:$G$801,E253)&gt;1,"Team 1 listed twice this week",IF(COUNTIFS($A$2:$A$801,A253,$E$2:$E$801,G253)+COUNTIFS($A$2:$A$801,A253,$G$2:$G$801,G253)&gt;1,"Team 2 listed twice this week",""))))))))</f>
        <v/>
      </c>
    </row>
    <row r="254">
      <c r="A254" s="11" t="n"/>
      <c r="B254" s="9">
        <f>IF(A254="","",IFERROR(INDEX(Lists!$G$2:$G$7,MATCH(A254,Lists!$F$2:$F$7,0)),"?"))</f>
        <v/>
      </c>
      <c r="C254" s="4" t="n"/>
      <c r="D254" s="4" t="n"/>
      <c r="E254" s="4" t="n"/>
      <c r="F254" s="11" t="n"/>
      <c r="G254" s="4" t="n"/>
      <c r="H254" s="11" t="n"/>
      <c r="I254" s="11" t="n"/>
      <c r="J254" s="9">
        <f>IF(OR(F254="",H254=""),"",IF(F254&gt;H254,E254,IF(H254&gt;F254,G254,"")))</f>
        <v/>
      </c>
      <c r="K254" s="4" t="n"/>
      <c r="L254" s="9">
        <f>IF(COUNTA(A254,C254,D254,E254,F254,G254,H254,I254)=0,"",IF(OR(A254="",C254="",E254="",G254=""),"Missing week/class/team",IF(AND(D254="",I254&lt;&gt;"Y"),"No chapter (forfeit?)",IF(AND(D254&lt;&gt;"",I254="Y"),"Forfeit has a chapter",IF(OR(F254="",H254=""),"Missing score",IF(F254=H254,"Tie score",IF(COUNTIFS($A$2:$A$801,A254,$E$2:$E$801,E254)+COUNTIFS($A$2:$A$801,A254,$G$2:$G$801,E254)&gt;1,"Team 1 listed twice this week",IF(COUNTIFS($A$2:$A$801,A254,$E$2:$E$801,G254)+COUNTIFS($A$2:$A$801,A254,$G$2:$G$801,G254)&gt;1,"Team 2 listed twice this week",""))))))))</f>
        <v/>
      </c>
    </row>
    <row r="255">
      <c r="A255" s="11" t="n"/>
      <c r="B255" s="9">
        <f>IF(A255="","",IFERROR(INDEX(Lists!$G$2:$G$7,MATCH(A255,Lists!$F$2:$F$7,0)),"?"))</f>
        <v/>
      </c>
      <c r="C255" s="4" t="n"/>
      <c r="D255" s="4" t="n"/>
      <c r="E255" s="4" t="n"/>
      <c r="F255" s="11" t="n"/>
      <c r="G255" s="4" t="n"/>
      <c r="H255" s="11" t="n"/>
      <c r="I255" s="11" t="n"/>
      <c r="J255" s="9">
        <f>IF(OR(F255="",H255=""),"",IF(F255&gt;H255,E255,IF(H255&gt;F255,G255,"")))</f>
        <v/>
      </c>
      <c r="K255" s="4" t="n"/>
      <c r="L255" s="9">
        <f>IF(COUNTA(A255,C255,D255,E255,F255,G255,H255,I255)=0,"",IF(OR(A255="",C255="",E255="",G255=""),"Missing week/class/team",IF(AND(D255="",I255&lt;&gt;"Y"),"No chapter (forfeit?)",IF(AND(D255&lt;&gt;"",I255="Y"),"Forfeit has a chapter",IF(OR(F255="",H255=""),"Missing score",IF(F255=H255,"Tie score",IF(COUNTIFS($A$2:$A$801,A255,$E$2:$E$801,E255)+COUNTIFS($A$2:$A$801,A255,$G$2:$G$801,E255)&gt;1,"Team 1 listed twice this week",IF(COUNTIFS($A$2:$A$801,A255,$E$2:$E$801,G255)+COUNTIFS($A$2:$A$801,A255,$G$2:$G$801,G255)&gt;1,"Team 2 listed twice this week",""))))))))</f>
        <v/>
      </c>
    </row>
    <row r="256">
      <c r="A256" s="11" t="n"/>
      <c r="B256" s="9">
        <f>IF(A256="","",IFERROR(INDEX(Lists!$G$2:$G$7,MATCH(A256,Lists!$F$2:$F$7,0)),"?"))</f>
        <v/>
      </c>
      <c r="C256" s="4" t="n"/>
      <c r="D256" s="4" t="n"/>
      <c r="E256" s="4" t="n"/>
      <c r="F256" s="11" t="n"/>
      <c r="G256" s="4" t="n"/>
      <c r="H256" s="11" t="n"/>
      <c r="I256" s="11" t="n"/>
      <c r="J256" s="9">
        <f>IF(OR(F256="",H256=""),"",IF(F256&gt;H256,E256,IF(H256&gt;F256,G256,"")))</f>
        <v/>
      </c>
      <c r="K256" s="4" t="n"/>
      <c r="L256" s="9">
        <f>IF(COUNTA(A256,C256,D256,E256,F256,G256,H256,I256)=0,"",IF(OR(A256="",C256="",E256="",G256=""),"Missing week/class/team",IF(AND(D256="",I256&lt;&gt;"Y"),"No chapter (forfeit?)",IF(AND(D256&lt;&gt;"",I256="Y"),"Forfeit has a chapter",IF(OR(F256="",H256=""),"Missing score",IF(F256=H256,"Tie score",IF(COUNTIFS($A$2:$A$801,A256,$E$2:$E$801,E256)+COUNTIFS($A$2:$A$801,A256,$G$2:$G$801,E256)&gt;1,"Team 1 listed twice this week",IF(COUNTIFS($A$2:$A$801,A256,$E$2:$E$801,G256)+COUNTIFS($A$2:$A$801,A256,$G$2:$G$801,G256)&gt;1,"Team 2 listed twice this week",""))))))))</f>
        <v/>
      </c>
    </row>
    <row r="257">
      <c r="A257" s="11" t="n"/>
      <c r="B257" s="9">
        <f>IF(A257="","",IFERROR(INDEX(Lists!$G$2:$G$7,MATCH(A257,Lists!$F$2:$F$7,0)),"?"))</f>
        <v/>
      </c>
      <c r="C257" s="4" t="n"/>
      <c r="D257" s="4" t="n"/>
      <c r="E257" s="4" t="n"/>
      <c r="F257" s="11" t="n"/>
      <c r="G257" s="4" t="n"/>
      <c r="H257" s="11" t="n"/>
      <c r="I257" s="11" t="n"/>
      <c r="J257" s="9">
        <f>IF(OR(F257="",H257=""),"",IF(F257&gt;H257,E257,IF(H257&gt;F257,G257,"")))</f>
        <v/>
      </c>
      <c r="K257" s="4" t="n"/>
      <c r="L257" s="9">
        <f>IF(COUNTA(A257,C257,D257,E257,F257,G257,H257,I257)=0,"",IF(OR(A257="",C257="",E257="",G257=""),"Missing week/class/team",IF(AND(D257="",I257&lt;&gt;"Y"),"No chapter (forfeit?)",IF(AND(D257&lt;&gt;"",I257="Y"),"Forfeit has a chapter",IF(OR(F257="",H257=""),"Missing score",IF(F257=H257,"Tie score",IF(COUNTIFS($A$2:$A$801,A257,$E$2:$E$801,E257)+COUNTIFS($A$2:$A$801,A257,$G$2:$G$801,E257)&gt;1,"Team 1 listed twice this week",IF(COUNTIFS($A$2:$A$801,A257,$E$2:$E$801,G257)+COUNTIFS($A$2:$A$801,A257,$G$2:$G$801,G257)&gt;1,"Team 2 listed twice this week",""))))))))</f>
        <v/>
      </c>
    </row>
    <row r="258">
      <c r="A258" s="11" t="n"/>
      <c r="B258" s="9">
        <f>IF(A258="","",IFERROR(INDEX(Lists!$G$2:$G$7,MATCH(A258,Lists!$F$2:$F$7,0)),"?"))</f>
        <v/>
      </c>
      <c r="C258" s="4" t="n"/>
      <c r="D258" s="4" t="n"/>
      <c r="E258" s="4" t="n"/>
      <c r="F258" s="11" t="n"/>
      <c r="G258" s="4" t="n"/>
      <c r="H258" s="11" t="n"/>
      <c r="I258" s="11" t="n"/>
      <c r="J258" s="9">
        <f>IF(OR(F258="",H258=""),"",IF(F258&gt;H258,E258,IF(H258&gt;F258,G258,"")))</f>
        <v/>
      </c>
      <c r="K258" s="4" t="n"/>
      <c r="L258" s="9">
        <f>IF(COUNTA(A258,C258,D258,E258,F258,G258,H258,I258)=0,"",IF(OR(A258="",C258="",E258="",G258=""),"Missing week/class/team",IF(AND(D258="",I258&lt;&gt;"Y"),"No chapter (forfeit?)",IF(AND(D258&lt;&gt;"",I258="Y"),"Forfeit has a chapter",IF(OR(F258="",H258=""),"Missing score",IF(F258=H258,"Tie score",IF(COUNTIFS($A$2:$A$801,A258,$E$2:$E$801,E258)+COUNTIFS($A$2:$A$801,A258,$G$2:$G$801,E258)&gt;1,"Team 1 listed twice this week",IF(COUNTIFS($A$2:$A$801,A258,$E$2:$E$801,G258)+COUNTIFS($A$2:$A$801,A258,$G$2:$G$801,G258)&gt;1,"Team 2 listed twice this week",""))))))))</f>
        <v/>
      </c>
    </row>
    <row r="259">
      <c r="A259" s="11" t="n"/>
      <c r="B259" s="9">
        <f>IF(A259="","",IFERROR(INDEX(Lists!$G$2:$G$7,MATCH(A259,Lists!$F$2:$F$7,0)),"?"))</f>
        <v/>
      </c>
      <c r="C259" s="4" t="n"/>
      <c r="D259" s="4" t="n"/>
      <c r="E259" s="4" t="n"/>
      <c r="F259" s="11" t="n"/>
      <c r="G259" s="4" t="n"/>
      <c r="H259" s="11" t="n"/>
      <c r="I259" s="11" t="n"/>
      <c r="J259" s="9">
        <f>IF(OR(F259="",H259=""),"",IF(F259&gt;H259,E259,IF(H259&gt;F259,G259,"")))</f>
        <v/>
      </c>
      <c r="K259" s="4" t="n"/>
      <c r="L259" s="9">
        <f>IF(COUNTA(A259,C259,D259,E259,F259,G259,H259,I259)=0,"",IF(OR(A259="",C259="",E259="",G259=""),"Missing week/class/team",IF(AND(D259="",I259&lt;&gt;"Y"),"No chapter (forfeit?)",IF(AND(D259&lt;&gt;"",I259="Y"),"Forfeit has a chapter",IF(OR(F259="",H259=""),"Missing score",IF(F259=H259,"Tie score",IF(COUNTIFS($A$2:$A$801,A259,$E$2:$E$801,E259)+COUNTIFS($A$2:$A$801,A259,$G$2:$G$801,E259)&gt;1,"Team 1 listed twice this week",IF(COUNTIFS($A$2:$A$801,A259,$E$2:$E$801,G259)+COUNTIFS($A$2:$A$801,A259,$G$2:$G$801,G259)&gt;1,"Team 2 listed twice this week",""))))))))</f>
        <v/>
      </c>
    </row>
    <row r="260">
      <c r="A260" s="11" t="n"/>
      <c r="B260" s="9">
        <f>IF(A260="","",IFERROR(INDEX(Lists!$G$2:$G$7,MATCH(A260,Lists!$F$2:$F$7,0)),"?"))</f>
        <v/>
      </c>
      <c r="C260" s="4" t="n"/>
      <c r="D260" s="4" t="n"/>
      <c r="E260" s="4" t="n"/>
      <c r="F260" s="11" t="n"/>
      <c r="G260" s="4" t="n"/>
      <c r="H260" s="11" t="n"/>
      <c r="I260" s="11" t="n"/>
      <c r="J260" s="9">
        <f>IF(OR(F260="",H260=""),"",IF(F260&gt;H260,E260,IF(H260&gt;F260,G260,"")))</f>
        <v/>
      </c>
      <c r="K260" s="4" t="n"/>
      <c r="L260" s="9">
        <f>IF(COUNTA(A260,C260,D260,E260,F260,G260,H260,I260)=0,"",IF(OR(A260="",C260="",E260="",G260=""),"Missing week/class/team",IF(AND(D260="",I260&lt;&gt;"Y"),"No chapter (forfeit?)",IF(AND(D260&lt;&gt;"",I260="Y"),"Forfeit has a chapter",IF(OR(F260="",H260=""),"Missing score",IF(F260=H260,"Tie score",IF(COUNTIFS($A$2:$A$801,A260,$E$2:$E$801,E260)+COUNTIFS($A$2:$A$801,A260,$G$2:$G$801,E260)&gt;1,"Team 1 listed twice this week",IF(COUNTIFS($A$2:$A$801,A260,$E$2:$E$801,G260)+COUNTIFS($A$2:$A$801,A260,$G$2:$G$801,G260)&gt;1,"Team 2 listed twice this week",""))))))))</f>
        <v/>
      </c>
    </row>
    <row r="261">
      <c r="A261" s="11" t="n"/>
      <c r="B261" s="9">
        <f>IF(A261="","",IFERROR(INDEX(Lists!$G$2:$G$7,MATCH(A261,Lists!$F$2:$F$7,0)),"?"))</f>
        <v/>
      </c>
      <c r="C261" s="4" t="n"/>
      <c r="D261" s="4" t="n"/>
      <c r="E261" s="4" t="n"/>
      <c r="F261" s="11" t="n"/>
      <c r="G261" s="4" t="n"/>
      <c r="H261" s="11" t="n"/>
      <c r="I261" s="11" t="n"/>
      <c r="J261" s="9">
        <f>IF(OR(F261="",H261=""),"",IF(F261&gt;H261,E261,IF(H261&gt;F261,G261,"")))</f>
        <v/>
      </c>
      <c r="K261" s="4" t="n"/>
      <c r="L261" s="9">
        <f>IF(COUNTA(A261,C261,D261,E261,F261,G261,H261,I261)=0,"",IF(OR(A261="",C261="",E261="",G261=""),"Missing week/class/team",IF(AND(D261="",I261&lt;&gt;"Y"),"No chapter (forfeit?)",IF(AND(D261&lt;&gt;"",I261="Y"),"Forfeit has a chapter",IF(OR(F261="",H261=""),"Missing score",IF(F261=H261,"Tie score",IF(COUNTIFS($A$2:$A$801,A261,$E$2:$E$801,E261)+COUNTIFS($A$2:$A$801,A261,$G$2:$G$801,E261)&gt;1,"Team 1 listed twice this week",IF(COUNTIFS($A$2:$A$801,A261,$E$2:$E$801,G261)+COUNTIFS($A$2:$A$801,A261,$G$2:$G$801,G261)&gt;1,"Team 2 listed twice this week",""))))))))</f>
        <v/>
      </c>
    </row>
    <row r="262">
      <c r="A262" s="11" t="n"/>
      <c r="B262" s="9">
        <f>IF(A262="","",IFERROR(INDEX(Lists!$G$2:$G$7,MATCH(A262,Lists!$F$2:$F$7,0)),"?"))</f>
        <v/>
      </c>
      <c r="C262" s="4" t="n"/>
      <c r="D262" s="4" t="n"/>
      <c r="E262" s="4" t="n"/>
      <c r="F262" s="11" t="n"/>
      <c r="G262" s="4" t="n"/>
      <c r="H262" s="11" t="n"/>
      <c r="I262" s="11" t="n"/>
      <c r="J262" s="9">
        <f>IF(OR(F262="",H262=""),"",IF(F262&gt;H262,E262,IF(H262&gt;F262,G262,"")))</f>
        <v/>
      </c>
      <c r="K262" s="4" t="n"/>
      <c r="L262" s="9">
        <f>IF(COUNTA(A262,C262,D262,E262,F262,G262,H262,I262)=0,"",IF(OR(A262="",C262="",E262="",G262=""),"Missing week/class/team",IF(AND(D262="",I262&lt;&gt;"Y"),"No chapter (forfeit?)",IF(AND(D262&lt;&gt;"",I262="Y"),"Forfeit has a chapter",IF(OR(F262="",H262=""),"Missing score",IF(F262=H262,"Tie score",IF(COUNTIFS($A$2:$A$801,A262,$E$2:$E$801,E262)+COUNTIFS($A$2:$A$801,A262,$G$2:$G$801,E262)&gt;1,"Team 1 listed twice this week",IF(COUNTIFS($A$2:$A$801,A262,$E$2:$E$801,G262)+COUNTIFS($A$2:$A$801,A262,$G$2:$G$801,G262)&gt;1,"Team 2 listed twice this week",""))))))))</f>
        <v/>
      </c>
    </row>
    <row r="263">
      <c r="A263" s="11" t="n"/>
      <c r="B263" s="9">
        <f>IF(A263="","",IFERROR(INDEX(Lists!$G$2:$G$7,MATCH(A263,Lists!$F$2:$F$7,0)),"?"))</f>
        <v/>
      </c>
      <c r="C263" s="4" t="n"/>
      <c r="D263" s="4" t="n"/>
      <c r="E263" s="4" t="n"/>
      <c r="F263" s="11" t="n"/>
      <c r="G263" s="4" t="n"/>
      <c r="H263" s="11" t="n"/>
      <c r="I263" s="11" t="n"/>
      <c r="J263" s="9">
        <f>IF(OR(F263="",H263=""),"",IF(F263&gt;H263,E263,IF(H263&gt;F263,G263,"")))</f>
        <v/>
      </c>
      <c r="K263" s="4" t="n"/>
      <c r="L263" s="9">
        <f>IF(COUNTA(A263,C263,D263,E263,F263,G263,H263,I263)=0,"",IF(OR(A263="",C263="",E263="",G263=""),"Missing week/class/team",IF(AND(D263="",I263&lt;&gt;"Y"),"No chapter (forfeit?)",IF(AND(D263&lt;&gt;"",I263="Y"),"Forfeit has a chapter",IF(OR(F263="",H263=""),"Missing score",IF(F263=H263,"Tie score",IF(COUNTIFS($A$2:$A$801,A263,$E$2:$E$801,E263)+COUNTIFS($A$2:$A$801,A263,$G$2:$G$801,E263)&gt;1,"Team 1 listed twice this week",IF(COUNTIFS($A$2:$A$801,A263,$E$2:$E$801,G263)+COUNTIFS($A$2:$A$801,A263,$G$2:$G$801,G263)&gt;1,"Team 2 listed twice this week",""))))))))</f>
        <v/>
      </c>
    </row>
    <row r="264">
      <c r="A264" s="11" t="n"/>
      <c r="B264" s="9">
        <f>IF(A264="","",IFERROR(INDEX(Lists!$G$2:$G$7,MATCH(A264,Lists!$F$2:$F$7,0)),"?"))</f>
        <v/>
      </c>
      <c r="C264" s="4" t="n"/>
      <c r="D264" s="4" t="n"/>
      <c r="E264" s="4" t="n"/>
      <c r="F264" s="11" t="n"/>
      <c r="G264" s="4" t="n"/>
      <c r="H264" s="11" t="n"/>
      <c r="I264" s="11" t="n"/>
      <c r="J264" s="9">
        <f>IF(OR(F264="",H264=""),"",IF(F264&gt;H264,E264,IF(H264&gt;F264,G264,"")))</f>
        <v/>
      </c>
      <c r="K264" s="4" t="n"/>
      <c r="L264" s="9">
        <f>IF(COUNTA(A264,C264,D264,E264,F264,G264,H264,I264)=0,"",IF(OR(A264="",C264="",E264="",G264=""),"Missing week/class/team",IF(AND(D264="",I264&lt;&gt;"Y"),"No chapter (forfeit?)",IF(AND(D264&lt;&gt;"",I264="Y"),"Forfeit has a chapter",IF(OR(F264="",H264=""),"Missing score",IF(F264=H264,"Tie score",IF(COUNTIFS($A$2:$A$801,A264,$E$2:$E$801,E264)+COUNTIFS($A$2:$A$801,A264,$G$2:$G$801,E264)&gt;1,"Team 1 listed twice this week",IF(COUNTIFS($A$2:$A$801,A264,$E$2:$E$801,G264)+COUNTIFS($A$2:$A$801,A264,$G$2:$G$801,G264)&gt;1,"Team 2 listed twice this week",""))))))))</f>
        <v/>
      </c>
    </row>
    <row r="265">
      <c r="A265" s="11" t="n"/>
      <c r="B265" s="9">
        <f>IF(A265="","",IFERROR(INDEX(Lists!$G$2:$G$7,MATCH(A265,Lists!$F$2:$F$7,0)),"?"))</f>
        <v/>
      </c>
      <c r="C265" s="4" t="n"/>
      <c r="D265" s="4" t="n"/>
      <c r="E265" s="4" t="n"/>
      <c r="F265" s="11" t="n"/>
      <c r="G265" s="4" t="n"/>
      <c r="H265" s="11" t="n"/>
      <c r="I265" s="11" t="n"/>
      <c r="J265" s="9">
        <f>IF(OR(F265="",H265=""),"",IF(F265&gt;H265,E265,IF(H265&gt;F265,G265,"")))</f>
        <v/>
      </c>
      <c r="K265" s="4" t="n"/>
      <c r="L265" s="9">
        <f>IF(COUNTA(A265,C265,D265,E265,F265,G265,H265,I265)=0,"",IF(OR(A265="",C265="",E265="",G265=""),"Missing week/class/team",IF(AND(D265="",I265&lt;&gt;"Y"),"No chapter (forfeit?)",IF(AND(D265&lt;&gt;"",I265="Y"),"Forfeit has a chapter",IF(OR(F265="",H265=""),"Missing score",IF(F265=H265,"Tie score",IF(COUNTIFS($A$2:$A$801,A265,$E$2:$E$801,E265)+COUNTIFS($A$2:$A$801,A265,$G$2:$G$801,E265)&gt;1,"Team 1 listed twice this week",IF(COUNTIFS($A$2:$A$801,A265,$E$2:$E$801,G265)+COUNTIFS($A$2:$A$801,A265,$G$2:$G$801,G265)&gt;1,"Team 2 listed twice this week",""))))))))</f>
        <v/>
      </c>
    </row>
    <row r="266">
      <c r="A266" s="11" t="n"/>
      <c r="B266" s="9">
        <f>IF(A266="","",IFERROR(INDEX(Lists!$G$2:$G$7,MATCH(A266,Lists!$F$2:$F$7,0)),"?"))</f>
        <v/>
      </c>
      <c r="C266" s="4" t="n"/>
      <c r="D266" s="4" t="n"/>
      <c r="E266" s="4" t="n"/>
      <c r="F266" s="11" t="n"/>
      <c r="G266" s="4" t="n"/>
      <c r="H266" s="11" t="n"/>
      <c r="I266" s="11" t="n"/>
      <c r="J266" s="9">
        <f>IF(OR(F266="",H266=""),"",IF(F266&gt;H266,E266,IF(H266&gt;F266,G266,"")))</f>
        <v/>
      </c>
      <c r="K266" s="4" t="n"/>
      <c r="L266" s="9">
        <f>IF(COUNTA(A266,C266,D266,E266,F266,G266,H266,I266)=0,"",IF(OR(A266="",C266="",E266="",G266=""),"Missing week/class/team",IF(AND(D266="",I266&lt;&gt;"Y"),"No chapter (forfeit?)",IF(AND(D266&lt;&gt;"",I266="Y"),"Forfeit has a chapter",IF(OR(F266="",H266=""),"Missing score",IF(F266=H266,"Tie score",IF(COUNTIFS($A$2:$A$801,A266,$E$2:$E$801,E266)+COUNTIFS($A$2:$A$801,A266,$G$2:$G$801,E266)&gt;1,"Team 1 listed twice this week",IF(COUNTIFS($A$2:$A$801,A266,$E$2:$E$801,G266)+COUNTIFS($A$2:$A$801,A266,$G$2:$G$801,G266)&gt;1,"Team 2 listed twice this week",""))))))))</f>
        <v/>
      </c>
    </row>
    <row r="267">
      <c r="A267" s="11" t="n"/>
      <c r="B267" s="9">
        <f>IF(A267="","",IFERROR(INDEX(Lists!$G$2:$G$7,MATCH(A267,Lists!$F$2:$F$7,0)),"?"))</f>
        <v/>
      </c>
      <c r="C267" s="4" t="n"/>
      <c r="D267" s="4" t="n"/>
      <c r="E267" s="4" t="n"/>
      <c r="F267" s="11" t="n"/>
      <c r="G267" s="4" t="n"/>
      <c r="H267" s="11" t="n"/>
      <c r="I267" s="11" t="n"/>
      <c r="J267" s="9">
        <f>IF(OR(F267="",H267=""),"",IF(F267&gt;H267,E267,IF(H267&gt;F267,G267,"")))</f>
        <v/>
      </c>
      <c r="K267" s="4" t="n"/>
      <c r="L267" s="9">
        <f>IF(COUNTA(A267,C267,D267,E267,F267,G267,H267,I267)=0,"",IF(OR(A267="",C267="",E267="",G267=""),"Missing week/class/team",IF(AND(D267="",I267&lt;&gt;"Y"),"No chapter (forfeit?)",IF(AND(D267&lt;&gt;"",I267="Y"),"Forfeit has a chapter",IF(OR(F267="",H267=""),"Missing score",IF(F267=H267,"Tie score",IF(COUNTIFS($A$2:$A$801,A267,$E$2:$E$801,E267)+COUNTIFS($A$2:$A$801,A267,$G$2:$G$801,E267)&gt;1,"Team 1 listed twice this week",IF(COUNTIFS($A$2:$A$801,A267,$E$2:$E$801,G267)+COUNTIFS($A$2:$A$801,A267,$G$2:$G$801,G267)&gt;1,"Team 2 listed twice this week",""))))))))</f>
        <v/>
      </c>
    </row>
    <row r="268">
      <c r="A268" s="11" t="n"/>
      <c r="B268" s="9">
        <f>IF(A268="","",IFERROR(INDEX(Lists!$G$2:$G$7,MATCH(A268,Lists!$F$2:$F$7,0)),"?"))</f>
        <v/>
      </c>
      <c r="C268" s="4" t="n"/>
      <c r="D268" s="4" t="n"/>
      <c r="E268" s="4" t="n"/>
      <c r="F268" s="11" t="n"/>
      <c r="G268" s="4" t="n"/>
      <c r="H268" s="11" t="n"/>
      <c r="I268" s="11" t="n"/>
      <c r="J268" s="9">
        <f>IF(OR(F268="",H268=""),"",IF(F268&gt;H268,E268,IF(H268&gt;F268,G268,"")))</f>
        <v/>
      </c>
      <c r="K268" s="4" t="n"/>
      <c r="L268" s="9">
        <f>IF(COUNTA(A268,C268,D268,E268,F268,G268,H268,I268)=0,"",IF(OR(A268="",C268="",E268="",G268=""),"Missing week/class/team",IF(AND(D268="",I268&lt;&gt;"Y"),"No chapter (forfeit?)",IF(AND(D268&lt;&gt;"",I268="Y"),"Forfeit has a chapter",IF(OR(F268="",H268=""),"Missing score",IF(F268=H268,"Tie score",IF(COUNTIFS($A$2:$A$801,A268,$E$2:$E$801,E268)+COUNTIFS($A$2:$A$801,A268,$G$2:$G$801,E268)&gt;1,"Team 1 listed twice this week",IF(COUNTIFS($A$2:$A$801,A268,$E$2:$E$801,G268)+COUNTIFS($A$2:$A$801,A268,$G$2:$G$801,G268)&gt;1,"Team 2 listed twice this week",""))))))))</f>
        <v/>
      </c>
    </row>
    <row r="269">
      <c r="A269" s="11" t="n"/>
      <c r="B269" s="9">
        <f>IF(A269="","",IFERROR(INDEX(Lists!$G$2:$G$7,MATCH(A269,Lists!$F$2:$F$7,0)),"?"))</f>
        <v/>
      </c>
      <c r="C269" s="4" t="n"/>
      <c r="D269" s="4" t="n"/>
      <c r="E269" s="4" t="n"/>
      <c r="F269" s="11" t="n"/>
      <c r="G269" s="4" t="n"/>
      <c r="H269" s="11" t="n"/>
      <c r="I269" s="11" t="n"/>
      <c r="J269" s="9">
        <f>IF(OR(F269="",H269=""),"",IF(F269&gt;H269,E269,IF(H269&gt;F269,G269,"")))</f>
        <v/>
      </c>
      <c r="K269" s="4" t="n"/>
      <c r="L269" s="9">
        <f>IF(COUNTA(A269,C269,D269,E269,F269,G269,H269,I269)=0,"",IF(OR(A269="",C269="",E269="",G269=""),"Missing week/class/team",IF(AND(D269="",I269&lt;&gt;"Y"),"No chapter (forfeit?)",IF(AND(D269&lt;&gt;"",I269="Y"),"Forfeit has a chapter",IF(OR(F269="",H269=""),"Missing score",IF(F269=H269,"Tie score",IF(COUNTIFS($A$2:$A$801,A269,$E$2:$E$801,E269)+COUNTIFS($A$2:$A$801,A269,$G$2:$G$801,E269)&gt;1,"Team 1 listed twice this week",IF(COUNTIFS($A$2:$A$801,A269,$E$2:$E$801,G269)+COUNTIFS($A$2:$A$801,A269,$G$2:$G$801,G269)&gt;1,"Team 2 listed twice this week",""))))))))</f>
        <v/>
      </c>
    </row>
    <row r="270">
      <c r="A270" s="11" t="n"/>
      <c r="B270" s="9">
        <f>IF(A270="","",IFERROR(INDEX(Lists!$G$2:$G$7,MATCH(A270,Lists!$F$2:$F$7,0)),"?"))</f>
        <v/>
      </c>
      <c r="C270" s="4" t="n"/>
      <c r="D270" s="4" t="n"/>
      <c r="E270" s="4" t="n"/>
      <c r="F270" s="11" t="n"/>
      <c r="G270" s="4" t="n"/>
      <c r="H270" s="11" t="n"/>
      <c r="I270" s="11" t="n"/>
      <c r="J270" s="9">
        <f>IF(OR(F270="",H270=""),"",IF(F270&gt;H270,E270,IF(H270&gt;F270,G270,"")))</f>
        <v/>
      </c>
      <c r="K270" s="4" t="n"/>
      <c r="L270" s="9">
        <f>IF(COUNTA(A270,C270,D270,E270,F270,G270,H270,I270)=0,"",IF(OR(A270="",C270="",E270="",G270=""),"Missing week/class/team",IF(AND(D270="",I270&lt;&gt;"Y"),"No chapter (forfeit?)",IF(AND(D270&lt;&gt;"",I270="Y"),"Forfeit has a chapter",IF(OR(F270="",H270=""),"Missing score",IF(F270=H270,"Tie score",IF(COUNTIFS($A$2:$A$801,A270,$E$2:$E$801,E270)+COUNTIFS($A$2:$A$801,A270,$G$2:$G$801,E270)&gt;1,"Team 1 listed twice this week",IF(COUNTIFS($A$2:$A$801,A270,$E$2:$E$801,G270)+COUNTIFS($A$2:$A$801,A270,$G$2:$G$801,G270)&gt;1,"Team 2 listed twice this week",""))))))))</f>
        <v/>
      </c>
    </row>
    <row r="271">
      <c r="A271" s="11" t="n"/>
      <c r="B271" s="9">
        <f>IF(A271="","",IFERROR(INDEX(Lists!$G$2:$G$7,MATCH(A271,Lists!$F$2:$F$7,0)),"?"))</f>
        <v/>
      </c>
      <c r="C271" s="4" t="n"/>
      <c r="D271" s="4" t="n"/>
      <c r="E271" s="4" t="n"/>
      <c r="F271" s="11" t="n"/>
      <c r="G271" s="4" t="n"/>
      <c r="H271" s="11" t="n"/>
      <c r="I271" s="11" t="n"/>
      <c r="J271" s="9">
        <f>IF(OR(F271="",H271=""),"",IF(F271&gt;H271,E271,IF(H271&gt;F271,G271,"")))</f>
        <v/>
      </c>
      <c r="K271" s="4" t="n"/>
      <c r="L271" s="9">
        <f>IF(COUNTA(A271,C271,D271,E271,F271,G271,H271,I271)=0,"",IF(OR(A271="",C271="",E271="",G271=""),"Missing week/class/team",IF(AND(D271="",I271&lt;&gt;"Y"),"No chapter (forfeit?)",IF(AND(D271&lt;&gt;"",I271="Y"),"Forfeit has a chapter",IF(OR(F271="",H271=""),"Missing score",IF(F271=H271,"Tie score",IF(COUNTIFS($A$2:$A$801,A271,$E$2:$E$801,E271)+COUNTIFS($A$2:$A$801,A271,$G$2:$G$801,E271)&gt;1,"Team 1 listed twice this week",IF(COUNTIFS($A$2:$A$801,A271,$E$2:$E$801,G271)+COUNTIFS($A$2:$A$801,A271,$G$2:$G$801,G271)&gt;1,"Team 2 listed twice this week",""))))))))</f>
        <v/>
      </c>
    </row>
    <row r="272">
      <c r="A272" s="11" t="n"/>
      <c r="B272" s="9">
        <f>IF(A272="","",IFERROR(INDEX(Lists!$G$2:$G$7,MATCH(A272,Lists!$F$2:$F$7,0)),"?"))</f>
        <v/>
      </c>
      <c r="C272" s="4" t="n"/>
      <c r="D272" s="4" t="n"/>
      <c r="E272" s="4" t="n"/>
      <c r="F272" s="11" t="n"/>
      <c r="G272" s="4" t="n"/>
      <c r="H272" s="11" t="n"/>
      <c r="I272" s="11" t="n"/>
      <c r="J272" s="9">
        <f>IF(OR(F272="",H272=""),"",IF(F272&gt;H272,E272,IF(H272&gt;F272,G272,"")))</f>
        <v/>
      </c>
      <c r="K272" s="4" t="n"/>
      <c r="L272" s="9">
        <f>IF(COUNTA(A272,C272,D272,E272,F272,G272,H272,I272)=0,"",IF(OR(A272="",C272="",E272="",G272=""),"Missing week/class/team",IF(AND(D272="",I272&lt;&gt;"Y"),"No chapter (forfeit?)",IF(AND(D272&lt;&gt;"",I272="Y"),"Forfeit has a chapter",IF(OR(F272="",H272=""),"Missing score",IF(F272=H272,"Tie score",IF(COUNTIFS($A$2:$A$801,A272,$E$2:$E$801,E272)+COUNTIFS($A$2:$A$801,A272,$G$2:$G$801,E272)&gt;1,"Team 1 listed twice this week",IF(COUNTIFS($A$2:$A$801,A272,$E$2:$E$801,G272)+COUNTIFS($A$2:$A$801,A272,$G$2:$G$801,G272)&gt;1,"Team 2 listed twice this week",""))))))))</f>
        <v/>
      </c>
    </row>
    <row r="273">
      <c r="A273" s="11" t="n"/>
      <c r="B273" s="9">
        <f>IF(A273="","",IFERROR(INDEX(Lists!$G$2:$G$7,MATCH(A273,Lists!$F$2:$F$7,0)),"?"))</f>
        <v/>
      </c>
      <c r="C273" s="4" t="n"/>
      <c r="D273" s="4" t="n"/>
      <c r="E273" s="4" t="n"/>
      <c r="F273" s="11" t="n"/>
      <c r="G273" s="4" t="n"/>
      <c r="H273" s="11" t="n"/>
      <c r="I273" s="11" t="n"/>
      <c r="J273" s="9">
        <f>IF(OR(F273="",H273=""),"",IF(F273&gt;H273,E273,IF(H273&gt;F273,G273,"")))</f>
        <v/>
      </c>
      <c r="K273" s="4" t="n"/>
      <c r="L273" s="9">
        <f>IF(COUNTA(A273,C273,D273,E273,F273,G273,H273,I273)=0,"",IF(OR(A273="",C273="",E273="",G273=""),"Missing week/class/team",IF(AND(D273="",I273&lt;&gt;"Y"),"No chapter (forfeit?)",IF(AND(D273&lt;&gt;"",I273="Y"),"Forfeit has a chapter",IF(OR(F273="",H273=""),"Missing score",IF(F273=H273,"Tie score",IF(COUNTIFS($A$2:$A$801,A273,$E$2:$E$801,E273)+COUNTIFS($A$2:$A$801,A273,$G$2:$G$801,E273)&gt;1,"Team 1 listed twice this week",IF(COUNTIFS($A$2:$A$801,A273,$E$2:$E$801,G273)+COUNTIFS($A$2:$A$801,A273,$G$2:$G$801,G273)&gt;1,"Team 2 listed twice this week",""))))))))</f>
        <v/>
      </c>
    </row>
    <row r="274">
      <c r="A274" s="11" t="n"/>
      <c r="B274" s="9">
        <f>IF(A274="","",IFERROR(INDEX(Lists!$G$2:$G$7,MATCH(A274,Lists!$F$2:$F$7,0)),"?"))</f>
        <v/>
      </c>
      <c r="C274" s="4" t="n"/>
      <c r="D274" s="4" t="n"/>
      <c r="E274" s="4" t="n"/>
      <c r="F274" s="11" t="n"/>
      <c r="G274" s="4" t="n"/>
      <c r="H274" s="11" t="n"/>
      <c r="I274" s="11" t="n"/>
      <c r="J274" s="9">
        <f>IF(OR(F274="",H274=""),"",IF(F274&gt;H274,E274,IF(H274&gt;F274,G274,"")))</f>
        <v/>
      </c>
      <c r="K274" s="4" t="n"/>
      <c r="L274" s="9">
        <f>IF(COUNTA(A274,C274,D274,E274,F274,G274,H274,I274)=0,"",IF(OR(A274="",C274="",E274="",G274=""),"Missing week/class/team",IF(AND(D274="",I274&lt;&gt;"Y"),"No chapter (forfeit?)",IF(AND(D274&lt;&gt;"",I274="Y"),"Forfeit has a chapter",IF(OR(F274="",H274=""),"Missing score",IF(F274=H274,"Tie score",IF(COUNTIFS($A$2:$A$801,A274,$E$2:$E$801,E274)+COUNTIFS($A$2:$A$801,A274,$G$2:$G$801,E274)&gt;1,"Team 1 listed twice this week",IF(COUNTIFS($A$2:$A$801,A274,$E$2:$E$801,G274)+COUNTIFS($A$2:$A$801,A274,$G$2:$G$801,G274)&gt;1,"Team 2 listed twice this week",""))))))))</f>
        <v/>
      </c>
    </row>
    <row r="275">
      <c r="A275" s="11" t="n"/>
      <c r="B275" s="9">
        <f>IF(A275="","",IFERROR(INDEX(Lists!$G$2:$G$7,MATCH(A275,Lists!$F$2:$F$7,0)),"?"))</f>
        <v/>
      </c>
      <c r="C275" s="4" t="n"/>
      <c r="D275" s="4" t="n"/>
      <c r="E275" s="4" t="n"/>
      <c r="F275" s="11" t="n"/>
      <c r="G275" s="4" t="n"/>
      <c r="H275" s="11" t="n"/>
      <c r="I275" s="11" t="n"/>
      <c r="J275" s="9">
        <f>IF(OR(F275="",H275=""),"",IF(F275&gt;H275,E275,IF(H275&gt;F275,G275,"")))</f>
        <v/>
      </c>
      <c r="K275" s="4" t="n"/>
      <c r="L275" s="9">
        <f>IF(COUNTA(A275,C275,D275,E275,F275,G275,H275,I275)=0,"",IF(OR(A275="",C275="",E275="",G275=""),"Missing week/class/team",IF(AND(D275="",I275&lt;&gt;"Y"),"No chapter (forfeit?)",IF(AND(D275&lt;&gt;"",I275="Y"),"Forfeit has a chapter",IF(OR(F275="",H275=""),"Missing score",IF(F275=H275,"Tie score",IF(COUNTIFS($A$2:$A$801,A275,$E$2:$E$801,E275)+COUNTIFS($A$2:$A$801,A275,$G$2:$G$801,E275)&gt;1,"Team 1 listed twice this week",IF(COUNTIFS($A$2:$A$801,A275,$E$2:$E$801,G275)+COUNTIFS($A$2:$A$801,A275,$G$2:$G$801,G275)&gt;1,"Team 2 listed twice this week",""))))))))</f>
        <v/>
      </c>
    </row>
    <row r="276">
      <c r="A276" s="11" t="n"/>
      <c r="B276" s="9">
        <f>IF(A276="","",IFERROR(INDEX(Lists!$G$2:$G$7,MATCH(A276,Lists!$F$2:$F$7,0)),"?"))</f>
        <v/>
      </c>
      <c r="C276" s="4" t="n"/>
      <c r="D276" s="4" t="n"/>
      <c r="E276" s="4" t="n"/>
      <c r="F276" s="11" t="n"/>
      <c r="G276" s="4" t="n"/>
      <c r="H276" s="11" t="n"/>
      <c r="I276" s="11" t="n"/>
      <c r="J276" s="9">
        <f>IF(OR(F276="",H276=""),"",IF(F276&gt;H276,E276,IF(H276&gt;F276,G276,"")))</f>
        <v/>
      </c>
      <c r="K276" s="4" t="n"/>
      <c r="L276" s="9">
        <f>IF(COUNTA(A276,C276,D276,E276,F276,G276,H276,I276)=0,"",IF(OR(A276="",C276="",E276="",G276=""),"Missing week/class/team",IF(AND(D276="",I276&lt;&gt;"Y"),"No chapter (forfeit?)",IF(AND(D276&lt;&gt;"",I276="Y"),"Forfeit has a chapter",IF(OR(F276="",H276=""),"Missing score",IF(F276=H276,"Tie score",IF(COUNTIFS($A$2:$A$801,A276,$E$2:$E$801,E276)+COUNTIFS($A$2:$A$801,A276,$G$2:$G$801,E276)&gt;1,"Team 1 listed twice this week",IF(COUNTIFS($A$2:$A$801,A276,$E$2:$E$801,G276)+COUNTIFS($A$2:$A$801,A276,$G$2:$G$801,G276)&gt;1,"Team 2 listed twice this week",""))))))))</f>
        <v/>
      </c>
    </row>
    <row r="277">
      <c r="A277" s="11" t="n"/>
      <c r="B277" s="9">
        <f>IF(A277="","",IFERROR(INDEX(Lists!$G$2:$G$7,MATCH(A277,Lists!$F$2:$F$7,0)),"?"))</f>
        <v/>
      </c>
      <c r="C277" s="4" t="n"/>
      <c r="D277" s="4" t="n"/>
      <c r="E277" s="4" t="n"/>
      <c r="F277" s="11" t="n"/>
      <c r="G277" s="4" t="n"/>
      <c r="H277" s="11" t="n"/>
      <c r="I277" s="11" t="n"/>
      <c r="J277" s="9">
        <f>IF(OR(F277="",H277=""),"",IF(F277&gt;H277,E277,IF(H277&gt;F277,G277,"")))</f>
        <v/>
      </c>
      <c r="K277" s="4" t="n"/>
      <c r="L277" s="9">
        <f>IF(COUNTA(A277,C277,D277,E277,F277,G277,H277,I277)=0,"",IF(OR(A277="",C277="",E277="",G277=""),"Missing week/class/team",IF(AND(D277="",I277&lt;&gt;"Y"),"No chapter (forfeit?)",IF(AND(D277&lt;&gt;"",I277="Y"),"Forfeit has a chapter",IF(OR(F277="",H277=""),"Missing score",IF(F277=H277,"Tie score",IF(COUNTIFS($A$2:$A$801,A277,$E$2:$E$801,E277)+COUNTIFS($A$2:$A$801,A277,$G$2:$G$801,E277)&gt;1,"Team 1 listed twice this week",IF(COUNTIFS($A$2:$A$801,A277,$E$2:$E$801,G277)+COUNTIFS($A$2:$A$801,A277,$G$2:$G$801,G277)&gt;1,"Team 2 listed twice this week",""))))))))</f>
        <v/>
      </c>
    </row>
    <row r="278">
      <c r="A278" s="11" t="n"/>
      <c r="B278" s="9">
        <f>IF(A278="","",IFERROR(INDEX(Lists!$G$2:$G$7,MATCH(A278,Lists!$F$2:$F$7,0)),"?"))</f>
        <v/>
      </c>
      <c r="C278" s="4" t="n"/>
      <c r="D278" s="4" t="n"/>
      <c r="E278" s="4" t="n"/>
      <c r="F278" s="11" t="n"/>
      <c r="G278" s="4" t="n"/>
      <c r="H278" s="11" t="n"/>
      <c r="I278" s="11" t="n"/>
      <c r="J278" s="9">
        <f>IF(OR(F278="",H278=""),"",IF(F278&gt;H278,E278,IF(H278&gt;F278,G278,"")))</f>
        <v/>
      </c>
      <c r="K278" s="4" t="n"/>
      <c r="L278" s="9">
        <f>IF(COUNTA(A278,C278,D278,E278,F278,G278,H278,I278)=0,"",IF(OR(A278="",C278="",E278="",G278=""),"Missing week/class/team",IF(AND(D278="",I278&lt;&gt;"Y"),"No chapter (forfeit?)",IF(AND(D278&lt;&gt;"",I278="Y"),"Forfeit has a chapter",IF(OR(F278="",H278=""),"Missing score",IF(F278=H278,"Tie score",IF(COUNTIFS($A$2:$A$801,A278,$E$2:$E$801,E278)+COUNTIFS($A$2:$A$801,A278,$G$2:$G$801,E278)&gt;1,"Team 1 listed twice this week",IF(COUNTIFS($A$2:$A$801,A278,$E$2:$E$801,G278)+COUNTIFS($A$2:$A$801,A278,$G$2:$G$801,G278)&gt;1,"Team 2 listed twice this week",""))))))))</f>
        <v/>
      </c>
    </row>
    <row r="279">
      <c r="A279" s="11" t="n"/>
      <c r="B279" s="9">
        <f>IF(A279="","",IFERROR(INDEX(Lists!$G$2:$G$7,MATCH(A279,Lists!$F$2:$F$7,0)),"?"))</f>
        <v/>
      </c>
      <c r="C279" s="4" t="n"/>
      <c r="D279" s="4" t="n"/>
      <c r="E279" s="4" t="n"/>
      <c r="F279" s="11" t="n"/>
      <c r="G279" s="4" t="n"/>
      <c r="H279" s="11" t="n"/>
      <c r="I279" s="11" t="n"/>
      <c r="J279" s="9">
        <f>IF(OR(F279="",H279=""),"",IF(F279&gt;H279,E279,IF(H279&gt;F279,G279,"")))</f>
        <v/>
      </c>
      <c r="K279" s="4" t="n"/>
      <c r="L279" s="9">
        <f>IF(COUNTA(A279,C279,D279,E279,F279,G279,H279,I279)=0,"",IF(OR(A279="",C279="",E279="",G279=""),"Missing week/class/team",IF(AND(D279="",I279&lt;&gt;"Y"),"No chapter (forfeit?)",IF(AND(D279&lt;&gt;"",I279="Y"),"Forfeit has a chapter",IF(OR(F279="",H279=""),"Missing score",IF(F279=H279,"Tie score",IF(COUNTIFS($A$2:$A$801,A279,$E$2:$E$801,E279)+COUNTIFS($A$2:$A$801,A279,$G$2:$G$801,E279)&gt;1,"Team 1 listed twice this week",IF(COUNTIFS($A$2:$A$801,A279,$E$2:$E$801,G279)+COUNTIFS($A$2:$A$801,A279,$G$2:$G$801,G279)&gt;1,"Team 2 listed twice this week",""))))))))</f>
        <v/>
      </c>
    </row>
    <row r="280">
      <c r="A280" s="11" t="n"/>
      <c r="B280" s="9">
        <f>IF(A280="","",IFERROR(INDEX(Lists!$G$2:$G$7,MATCH(A280,Lists!$F$2:$F$7,0)),"?"))</f>
        <v/>
      </c>
      <c r="C280" s="4" t="n"/>
      <c r="D280" s="4" t="n"/>
      <c r="E280" s="4" t="n"/>
      <c r="F280" s="11" t="n"/>
      <c r="G280" s="4" t="n"/>
      <c r="H280" s="11" t="n"/>
      <c r="I280" s="11" t="n"/>
      <c r="J280" s="9">
        <f>IF(OR(F280="",H280=""),"",IF(F280&gt;H280,E280,IF(H280&gt;F280,G280,"")))</f>
        <v/>
      </c>
      <c r="K280" s="4" t="n"/>
      <c r="L280" s="9">
        <f>IF(COUNTA(A280,C280,D280,E280,F280,G280,H280,I280)=0,"",IF(OR(A280="",C280="",E280="",G280=""),"Missing week/class/team",IF(AND(D280="",I280&lt;&gt;"Y"),"No chapter (forfeit?)",IF(AND(D280&lt;&gt;"",I280="Y"),"Forfeit has a chapter",IF(OR(F280="",H280=""),"Missing score",IF(F280=H280,"Tie score",IF(COUNTIFS($A$2:$A$801,A280,$E$2:$E$801,E280)+COUNTIFS($A$2:$A$801,A280,$G$2:$G$801,E280)&gt;1,"Team 1 listed twice this week",IF(COUNTIFS($A$2:$A$801,A280,$E$2:$E$801,G280)+COUNTIFS($A$2:$A$801,A280,$G$2:$G$801,G280)&gt;1,"Team 2 listed twice this week",""))))))))</f>
        <v/>
      </c>
    </row>
    <row r="281">
      <c r="A281" s="11" t="n"/>
      <c r="B281" s="9">
        <f>IF(A281="","",IFERROR(INDEX(Lists!$G$2:$G$7,MATCH(A281,Lists!$F$2:$F$7,0)),"?"))</f>
        <v/>
      </c>
      <c r="C281" s="4" t="n"/>
      <c r="D281" s="4" t="n"/>
      <c r="E281" s="4" t="n"/>
      <c r="F281" s="11" t="n"/>
      <c r="G281" s="4" t="n"/>
      <c r="H281" s="11" t="n"/>
      <c r="I281" s="11" t="n"/>
      <c r="J281" s="9">
        <f>IF(OR(F281="",H281=""),"",IF(F281&gt;H281,E281,IF(H281&gt;F281,G281,"")))</f>
        <v/>
      </c>
      <c r="K281" s="4" t="n"/>
      <c r="L281" s="9">
        <f>IF(COUNTA(A281,C281,D281,E281,F281,G281,H281,I281)=0,"",IF(OR(A281="",C281="",E281="",G281=""),"Missing week/class/team",IF(AND(D281="",I281&lt;&gt;"Y"),"No chapter (forfeit?)",IF(AND(D281&lt;&gt;"",I281="Y"),"Forfeit has a chapter",IF(OR(F281="",H281=""),"Missing score",IF(F281=H281,"Tie score",IF(COUNTIFS($A$2:$A$801,A281,$E$2:$E$801,E281)+COUNTIFS($A$2:$A$801,A281,$G$2:$G$801,E281)&gt;1,"Team 1 listed twice this week",IF(COUNTIFS($A$2:$A$801,A281,$E$2:$E$801,G281)+COUNTIFS($A$2:$A$801,A281,$G$2:$G$801,G281)&gt;1,"Team 2 listed twice this week",""))))))))</f>
        <v/>
      </c>
    </row>
    <row r="282">
      <c r="A282" s="11" t="n"/>
      <c r="B282" s="9">
        <f>IF(A282="","",IFERROR(INDEX(Lists!$G$2:$G$7,MATCH(A282,Lists!$F$2:$F$7,0)),"?"))</f>
        <v/>
      </c>
      <c r="C282" s="4" t="n"/>
      <c r="D282" s="4" t="n"/>
      <c r="E282" s="4" t="n"/>
      <c r="F282" s="11" t="n"/>
      <c r="G282" s="4" t="n"/>
      <c r="H282" s="11" t="n"/>
      <c r="I282" s="11" t="n"/>
      <c r="J282" s="9">
        <f>IF(OR(F282="",H282=""),"",IF(F282&gt;H282,E282,IF(H282&gt;F282,G282,"")))</f>
        <v/>
      </c>
      <c r="K282" s="4" t="n"/>
      <c r="L282" s="9">
        <f>IF(COUNTA(A282,C282,D282,E282,F282,G282,H282,I282)=0,"",IF(OR(A282="",C282="",E282="",G282=""),"Missing week/class/team",IF(AND(D282="",I282&lt;&gt;"Y"),"No chapter (forfeit?)",IF(AND(D282&lt;&gt;"",I282="Y"),"Forfeit has a chapter",IF(OR(F282="",H282=""),"Missing score",IF(F282=H282,"Tie score",IF(COUNTIFS($A$2:$A$801,A282,$E$2:$E$801,E282)+COUNTIFS($A$2:$A$801,A282,$G$2:$G$801,E282)&gt;1,"Team 1 listed twice this week",IF(COUNTIFS($A$2:$A$801,A282,$E$2:$E$801,G282)+COUNTIFS($A$2:$A$801,A282,$G$2:$G$801,G282)&gt;1,"Team 2 listed twice this week",""))))))))</f>
        <v/>
      </c>
    </row>
    <row r="283">
      <c r="A283" s="11" t="n"/>
      <c r="B283" s="9">
        <f>IF(A283="","",IFERROR(INDEX(Lists!$G$2:$G$7,MATCH(A283,Lists!$F$2:$F$7,0)),"?"))</f>
        <v/>
      </c>
      <c r="C283" s="4" t="n"/>
      <c r="D283" s="4" t="n"/>
      <c r="E283" s="4" t="n"/>
      <c r="F283" s="11" t="n"/>
      <c r="G283" s="4" t="n"/>
      <c r="H283" s="11" t="n"/>
      <c r="I283" s="11" t="n"/>
      <c r="J283" s="9">
        <f>IF(OR(F283="",H283=""),"",IF(F283&gt;H283,E283,IF(H283&gt;F283,G283,"")))</f>
        <v/>
      </c>
      <c r="K283" s="4" t="n"/>
      <c r="L283" s="9">
        <f>IF(COUNTA(A283,C283,D283,E283,F283,G283,H283,I283)=0,"",IF(OR(A283="",C283="",E283="",G283=""),"Missing week/class/team",IF(AND(D283="",I283&lt;&gt;"Y"),"No chapter (forfeit?)",IF(AND(D283&lt;&gt;"",I283="Y"),"Forfeit has a chapter",IF(OR(F283="",H283=""),"Missing score",IF(F283=H283,"Tie score",IF(COUNTIFS($A$2:$A$801,A283,$E$2:$E$801,E283)+COUNTIFS($A$2:$A$801,A283,$G$2:$G$801,E283)&gt;1,"Team 1 listed twice this week",IF(COUNTIFS($A$2:$A$801,A283,$E$2:$E$801,G283)+COUNTIFS($A$2:$A$801,A283,$G$2:$G$801,G283)&gt;1,"Team 2 listed twice this week",""))))))))</f>
        <v/>
      </c>
    </row>
    <row r="284">
      <c r="A284" s="11" t="n"/>
      <c r="B284" s="9">
        <f>IF(A284="","",IFERROR(INDEX(Lists!$G$2:$G$7,MATCH(A284,Lists!$F$2:$F$7,0)),"?"))</f>
        <v/>
      </c>
      <c r="C284" s="4" t="n"/>
      <c r="D284" s="4" t="n"/>
      <c r="E284" s="4" t="n"/>
      <c r="F284" s="11" t="n"/>
      <c r="G284" s="4" t="n"/>
      <c r="H284" s="11" t="n"/>
      <c r="I284" s="11" t="n"/>
      <c r="J284" s="9">
        <f>IF(OR(F284="",H284=""),"",IF(F284&gt;H284,E284,IF(H284&gt;F284,G284,"")))</f>
        <v/>
      </c>
      <c r="K284" s="4" t="n"/>
      <c r="L284" s="9">
        <f>IF(COUNTA(A284,C284,D284,E284,F284,G284,H284,I284)=0,"",IF(OR(A284="",C284="",E284="",G284=""),"Missing week/class/team",IF(AND(D284="",I284&lt;&gt;"Y"),"No chapter (forfeit?)",IF(AND(D284&lt;&gt;"",I284="Y"),"Forfeit has a chapter",IF(OR(F284="",H284=""),"Missing score",IF(F284=H284,"Tie score",IF(COUNTIFS($A$2:$A$801,A284,$E$2:$E$801,E284)+COUNTIFS($A$2:$A$801,A284,$G$2:$G$801,E284)&gt;1,"Team 1 listed twice this week",IF(COUNTIFS($A$2:$A$801,A284,$E$2:$E$801,G284)+COUNTIFS($A$2:$A$801,A284,$G$2:$G$801,G284)&gt;1,"Team 2 listed twice this week",""))))))))</f>
        <v/>
      </c>
    </row>
    <row r="285">
      <c r="A285" s="11" t="n"/>
      <c r="B285" s="9">
        <f>IF(A285="","",IFERROR(INDEX(Lists!$G$2:$G$7,MATCH(A285,Lists!$F$2:$F$7,0)),"?"))</f>
        <v/>
      </c>
      <c r="C285" s="4" t="n"/>
      <c r="D285" s="4" t="n"/>
      <c r="E285" s="4" t="n"/>
      <c r="F285" s="11" t="n"/>
      <c r="G285" s="4" t="n"/>
      <c r="H285" s="11" t="n"/>
      <c r="I285" s="11" t="n"/>
      <c r="J285" s="9">
        <f>IF(OR(F285="",H285=""),"",IF(F285&gt;H285,E285,IF(H285&gt;F285,G285,"")))</f>
        <v/>
      </c>
      <c r="K285" s="4" t="n"/>
      <c r="L285" s="9">
        <f>IF(COUNTA(A285,C285,D285,E285,F285,G285,H285,I285)=0,"",IF(OR(A285="",C285="",E285="",G285=""),"Missing week/class/team",IF(AND(D285="",I285&lt;&gt;"Y"),"No chapter (forfeit?)",IF(AND(D285&lt;&gt;"",I285="Y"),"Forfeit has a chapter",IF(OR(F285="",H285=""),"Missing score",IF(F285=H285,"Tie score",IF(COUNTIFS($A$2:$A$801,A285,$E$2:$E$801,E285)+COUNTIFS($A$2:$A$801,A285,$G$2:$G$801,E285)&gt;1,"Team 1 listed twice this week",IF(COUNTIFS($A$2:$A$801,A285,$E$2:$E$801,G285)+COUNTIFS($A$2:$A$801,A285,$G$2:$G$801,G285)&gt;1,"Team 2 listed twice this week",""))))))))</f>
        <v/>
      </c>
    </row>
    <row r="286">
      <c r="A286" s="11" t="n"/>
      <c r="B286" s="9">
        <f>IF(A286="","",IFERROR(INDEX(Lists!$G$2:$G$7,MATCH(A286,Lists!$F$2:$F$7,0)),"?"))</f>
        <v/>
      </c>
      <c r="C286" s="4" t="n"/>
      <c r="D286" s="4" t="n"/>
      <c r="E286" s="4" t="n"/>
      <c r="F286" s="11" t="n"/>
      <c r="G286" s="4" t="n"/>
      <c r="H286" s="11" t="n"/>
      <c r="I286" s="11" t="n"/>
      <c r="J286" s="9">
        <f>IF(OR(F286="",H286=""),"",IF(F286&gt;H286,E286,IF(H286&gt;F286,G286,"")))</f>
        <v/>
      </c>
      <c r="K286" s="4" t="n"/>
      <c r="L286" s="9">
        <f>IF(COUNTA(A286,C286,D286,E286,F286,G286,H286,I286)=0,"",IF(OR(A286="",C286="",E286="",G286=""),"Missing week/class/team",IF(AND(D286="",I286&lt;&gt;"Y"),"No chapter (forfeit?)",IF(AND(D286&lt;&gt;"",I286="Y"),"Forfeit has a chapter",IF(OR(F286="",H286=""),"Missing score",IF(F286=H286,"Tie score",IF(COUNTIFS($A$2:$A$801,A286,$E$2:$E$801,E286)+COUNTIFS($A$2:$A$801,A286,$G$2:$G$801,E286)&gt;1,"Team 1 listed twice this week",IF(COUNTIFS($A$2:$A$801,A286,$E$2:$E$801,G286)+COUNTIFS($A$2:$A$801,A286,$G$2:$G$801,G286)&gt;1,"Team 2 listed twice this week",""))))))))</f>
        <v/>
      </c>
    </row>
    <row r="287">
      <c r="A287" s="11" t="n"/>
      <c r="B287" s="9">
        <f>IF(A287="","",IFERROR(INDEX(Lists!$G$2:$G$7,MATCH(A287,Lists!$F$2:$F$7,0)),"?"))</f>
        <v/>
      </c>
      <c r="C287" s="4" t="n"/>
      <c r="D287" s="4" t="n"/>
      <c r="E287" s="4" t="n"/>
      <c r="F287" s="11" t="n"/>
      <c r="G287" s="4" t="n"/>
      <c r="H287" s="11" t="n"/>
      <c r="I287" s="11" t="n"/>
      <c r="J287" s="9">
        <f>IF(OR(F287="",H287=""),"",IF(F287&gt;H287,E287,IF(H287&gt;F287,G287,"")))</f>
        <v/>
      </c>
      <c r="K287" s="4" t="n"/>
      <c r="L287" s="9">
        <f>IF(COUNTA(A287,C287,D287,E287,F287,G287,H287,I287)=0,"",IF(OR(A287="",C287="",E287="",G287=""),"Missing week/class/team",IF(AND(D287="",I287&lt;&gt;"Y"),"No chapter (forfeit?)",IF(AND(D287&lt;&gt;"",I287="Y"),"Forfeit has a chapter",IF(OR(F287="",H287=""),"Missing score",IF(F287=H287,"Tie score",IF(COUNTIFS($A$2:$A$801,A287,$E$2:$E$801,E287)+COUNTIFS($A$2:$A$801,A287,$G$2:$G$801,E287)&gt;1,"Team 1 listed twice this week",IF(COUNTIFS($A$2:$A$801,A287,$E$2:$E$801,G287)+COUNTIFS($A$2:$A$801,A287,$G$2:$G$801,G287)&gt;1,"Team 2 listed twice this week",""))))))))</f>
        <v/>
      </c>
    </row>
    <row r="288">
      <c r="A288" s="11" t="n"/>
      <c r="B288" s="9">
        <f>IF(A288="","",IFERROR(INDEX(Lists!$G$2:$G$7,MATCH(A288,Lists!$F$2:$F$7,0)),"?"))</f>
        <v/>
      </c>
      <c r="C288" s="4" t="n"/>
      <c r="D288" s="4" t="n"/>
      <c r="E288" s="4" t="n"/>
      <c r="F288" s="11" t="n"/>
      <c r="G288" s="4" t="n"/>
      <c r="H288" s="11" t="n"/>
      <c r="I288" s="11" t="n"/>
      <c r="J288" s="9">
        <f>IF(OR(F288="",H288=""),"",IF(F288&gt;H288,E288,IF(H288&gt;F288,G288,"")))</f>
        <v/>
      </c>
      <c r="K288" s="4" t="n"/>
      <c r="L288" s="9">
        <f>IF(COUNTA(A288,C288,D288,E288,F288,G288,H288,I288)=0,"",IF(OR(A288="",C288="",E288="",G288=""),"Missing week/class/team",IF(AND(D288="",I288&lt;&gt;"Y"),"No chapter (forfeit?)",IF(AND(D288&lt;&gt;"",I288="Y"),"Forfeit has a chapter",IF(OR(F288="",H288=""),"Missing score",IF(F288=H288,"Tie score",IF(COUNTIFS($A$2:$A$801,A288,$E$2:$E$801,E288)+COUNTIFS($A$2:$A$801,A288,$G$2:$G$801,E288)&gt;1,"Team 1 listed twice this week",IF(COUNTIFS($A$2:$A$801,A288,$E$2:$E$801,G288)+COUNTIFS($A$2:$A$801,A288,$G$2:$G$801,G288)&gt;1,"Team 2 listed twice this week",""))))))))</f>
        <v/>
      </c>
    </row>
    <row r="289">
      <c r="A289" s="11" t="n"/>
      <c r="B289" s="9">
        <f>IF(A289="","",IFERROR(INDEX(Lists!$G$2:$G$7,MATCH(A289,Lists!$F$2:$F$7,0)),"?"))</f>
        <v/>
      </c>
      <c r="C289" s="4" t="n"/>
      <c r="D289" s="4" t="n"/>
      <c r="E289" s="4" t="n"/>
      <c r="F289" s="11" t="n"/>
      <c r="G289" s="4" t="n"/>
      <c r="H289" s="11" t="n"/>
      <c r="I289" s="11" t="n"/>
      <c r="J289" s="9">
        <f>IF(OR(F289="",H289=""),"",IF(F289&gt;H289,E289,IF(H289&gt;F289,G289,"")))</f>
        <v/>
      </c>
      <c r="K289" s="4" t="n"/>
      <c r="L289" s="9">
        <f>IF(COUNTA(A289,C289,D289,E289,F289,G289,H289,I289)=0,"",IF(OR(A289="",C289="",E289="",G289=""),"Missing week/class/team",IF(AND(D289="",I289&lt;&gt;"Y"),"No chapter (forfeit?)",IF(AND(D289&lt;&gt;"",I289="Y"),"Forfeit has a chapter",IF(OR(F289="",H289=""),"Missing score",IF(F289=H289,"Tie score",IF(COUNTIFS($A$2:$A$801,A289,$E$2:$E$801,E289)+COUNTIFS($A$2:$A$801,A289,$G$2:$G$801,E289)&gt;1,"Team 1 listed twice this week",IF(COUNTIFS($A$2:$A$801,A289,$E$2:$E$801,G289)+COUNTIFS($A$2:$A$801,A289,$G$2:$G$801,G289)&gt;1,"Team 2 listed twice this week",""))))))))</f>
        <v/>
      </c>
    </row>
    <row r="290">
      <c r="A290" s="11" t="n"/>
      <c r="B290" s="9">
        <f>IF(A290="","",IFERROR(INDEX(Lists!$G$2:$G$7,MATCH(A290,Lists!$F$2:$F$7,0)),"?"))</f>
        <v/>
      </c>
      <c r="C290" s="4" t="n"/>
      <c r="D290" s="4" t="n"/>
      <c r="E290" s="4" t="n"/>
      <c r="F290" s="11" t="n"/>
      <c r="G290" s="4" t="n"/>
      <c r="H290" s="11" t="n"/>
      <c r="I290" s="11" t="n"/>
      <c r="J290" s="9">
        <f>IF(OR(F290="",H290=""),"",IF(F290&gt;H290,E290,IF(H290&gt;F290,G290,"")))</f>
        <v/>
      </c>
      <c r="K290" s="4" t="n"/>
      <c r="L290" s="9">
        <f>IF(COUNTA(A290,C290,D290,E290,F290,G290,H290,I290)=0,"",IF(OR(A290="",C290="",E290="",G290=""),"Missing week/class/team",IF(AND(D290="",I290&lt;&gt;"Y"),"No chapter (forfeit?)",IF(AND(D290&lt;&gt;"",I290="Y"),"Forfeit has a chapter",IF(OR(F290="",H290=""),"Missing score",IF(F290=H290,"Tie score",IF(COUNTIFS($A$2:$A$801,A290,$E$2:$E$801,E290)+COUNTIFS($A$2:$A$801,A290,$G$2:$G$801,E290)&gt;1,"Team 1 listed twice this week",IF(COUNTIFS($A$2:$A$801,A290,$E$2:$E$801,G290)+COUNTIFS($A$2:$A$801,A290,$G$2:$G$801,G290)&gt;1,"Team 2 listed twice this week",""))))))))</f>
        <v/>
      </c>
    </row>
    <row r="291">
      <c r="A291" s="11" t="n"/>
      <c r="B291" s="9">
        <f>IF(A291="","",IFERROR(INDEX(Lists!$G$2:$G$7,MATCH(A291,Lists!$F$2:$F$7,0)),"?"))</f>
        <v/>
      </c>
      <c r="C291" s="4" t="n"/>
      <c r="D291" s="4" t="n"/>
      <c r="E291" s="4" t="n"/>
      <c r="F291" s="11" t="n"/>
      <c r="G291" s="4" t="n"/>
      <c r="H291" s="11" t="n"/>
      <c r="I291" s="11" t="n"/>
      <c r="J291" s="9">
        <f>IF(OR(F291="",H291=""),"",IF(F291&gt;H291,E291,IF(H291&gt;F291,G291,"")))</f>
        <v/>
      </c>
      <c r="K291" s="4" t="n"/>
      <c r="L291" s="9">
        <f>IF(COUNTA(A291,C291,D291,E291,F291,G291,H291,I291)=0,"",IF(OR(A291="",C291="",E291="",G291=""),"Missing week/class/team",IF(AND(D291="",I291&lt;&gt;"Y"),"No chapter (forfeit?)",IF(AND(D291&lt;&gt;"",I291="Y"),"Forfeit has a chapter",IF(OR(F291="",H291=""),"Missing score",IF(F291=H291,"Tie score",IF(COUNTIFS($A$2:$A$801,A291,$E$2:$E$801,E291)+COUNTIFS($A$2:$A$801,A291,$G$2:$G$801,E291)&gt;1,"Team 1 listed twice this week",IF(COUNTIFS($A$2:$A$801,A291,$E$2:$E$801,G291)+COUNTIFS($A$2:$A$801,A291,$G$2:$G$801,G291)&gt;1,"Team 2 listed twice this week",""))))))))</f>
        <v/>
      </c>
    </row>
    <row r="292">
      <c r="A292" s="11" t="n"/>
      <c r="B292" s="9">
        <f>IF(A292="","",IFERROR(INDEX(Lists!$G$2:$G$7,MATCH(A292,Lists!$F$2:$F$7,0)),"?"))</f>
        <v/>
      </c>
      <c r="C292" s="4" t="n"/>
      <c r="D292" s="4" t="n"/>
      <c r="E292" s="4" t="n"/>
      <c r="F292" s="11" t="n"/>
      <c r="G292" s="4" t="n"/>
      <c r="H292" s="11" t="n"/>
      <c r="I292" s="11" t="n"/>
      <c r="J292" s="9">
        <f>IF(OR(F292="",H292=""),"",IF(F292&gt;H292,E292,IF(H292&gt;F292,G292,"")))</f>
        <v/>
      </c>
      <c r="K292" s="4" t="n"/>
      <c r="L292" s="9">
        <f>IF(COUNTA(A292,C292,D292,E292,F292,G292,H292,I292)=0,"",IF(OR(A292="",C292="",E292="",G292=""),"Missing week/class/team",IF(AND(D292="",I292&lt;&gt;"Y"),"No chapter (forfeit?)",IF(AND(D292&lt;&gt;"",I292="Y"),"Forfeit has a chapter",IF(OR(F292="",H292=""),"Missing score",IF(F292=H292,"Tie score",IF(COUNTIFS($A$2:$A$801,A292,$E$2:$E$801,E292)+COUNTIFS($A$2:$A$801,A292,$G$2:$G$801,E292)&gt;1,"Team 1 listed twice this week",IF(COUNTIFS($A$2:$A$801,A292,$E$2:$E$801,G292)+COUNTIFS($A$2:$A$801,A292,$G$2:$G$801,G292)&gt;1,"Team 2 listed twice this week",""))))))))</f>
        <v/>
      </c>
    </row>
    <row r="293">
      <c r="A293" s="11" t="n"/>
      <c r="B293" s="9">
        <f>IF(A293="","",IFERROR(INDEX(Lists!$G$2:$G$7,MATCH(A293,Lists!$F$2:$F$7,0)),"?"))</f>
        <v/>
      </c>
      <c r="C293" s="4" t="n"/>
      <c r="D293" s="4" t="n"/>
      <c r="E293" s="4" t="n"/>
      <c r="F293" s="11" t="n"/>
      <c r="G293" s="4" t="n"/>
      <c r="H293" s="11" t="n"/>
      <c r="I293" s="11" t="n"/>
      <c r="J293" s="9">
        <f>IF(OR(F293="",H293=""),"",IF(F293&gt;H293,E293,IF(H293&gt;F293,G293,"")))</f>
        <v/>
      </c>
      <c r="K293" s="4" t="n"/>
      <c r="L293" s="9">
        <f>IF(COUNTA(A293,C293,D293,E293,F293,G293,H293,I293)=0,"",IF(OR(A293="",C293="",E293="",G293=""),"Missing week/class/team",IF(AND(D293="",I293&lt;&gt;"Y"),"No chapter (forfeit?)",IF(AND(D293&lt;&gt;"",I293="Y"),"Forfeit has a chapter",IF(OR(F293="",H293=""),"Missing score",IF(F293=H293,"Tie score",IF(COUNTIFS($A$2:$A$801,A293,$E$2:$E$801,E293)+COUNTIFS($A$2:$A$801,A293,$G$2:$G$801,E293)&gt;1,"Team 1 listed twice this week",IF(COUNTIFS($A$2:$A$801,A293,$E$2:$E$801,G293)+COUNTIFS($A$2:$A$801,A293,$G$2:$G$801,G293)&gt;1,"Team 2 listed twice this week",""))))))))</f>
        <v/>
      </c>
    </row>
    <row r="294">
      <c r="A294" s="11" t="n"/>
      <c r="B294" s="9">
        <f>IF(A294="","",IFERROR(INDEX(Lists!$G$2:$G$7,MATCH(A294,Lists!$F$2:$F$7,0)),"?"))</f>
        <v/>
      </c>
      <c r="C294" s="4" t="n"/>
      <c r="D294" s="4" t="n"/>
      <c r="E294" s="4" t="n"/>
      <c r="F294" s="11" t="n"/>
      <c r="G294" s="4" t="n"/>
      <c r="H294" s="11" t="n"/>
      <c r="I294" s="11" t="n"/>
      <c r="J294" s="9">
        <f>IF(OR(F294="",H294=""),"",IF(F294&gt;H294,E294,IF(H294&gt;F294,G294,"")))</f>
        <v/>
      </c>
      <c r="K294" s="4" t="n"/>
      <c r="L294" s="9">
        <f>IF(COUNTA(A294,C294,D294,E294,F294,G294,H294,I294)=0,"",IF(OR(A294="",C294="",E294="",G294=""),"Missing week/class/team",IF(AND(D294="",I294&lt;&gt;"Y"),"No chapter (forfeit?)",IF(AND(D294&lt;&gt;"",I294="Y"),"Forfeit has a chapter",IF(OR(F294="",H294=""),"Missing score",IF(F294=H294,"Tie score",IF(COUNTIFS($A$2:$A$801,A294,$E$2:$E$801,E294)+COUNTIFS($A$2:$A$801,A294,$G$2:$G$801,E294)&gt;1,"Team 1 listed twice this week",IF(COUNTIFS($A$2:$A$801,A294,$E$2:$E$801,G294)+COUNTIFS($A$2:$A$801,A294,$G$2:$G$801,G294)&gt;1,"Team 2 listed twice this week",""))))))))</f>
        <v/>
      </c>
    </row>
    <row r="295">
      <c r="A295" s="11" t="n"/>
      <c r="B295" s="9">
        <f>IF(A295="","",IFERROR(INDEX(Lists!$G$2:$G$7,MATCH(A295,Lists!$F$2:$F$7,0)),"?"))</f>
        <v/>
      </c>
      <c r="C295" s="4" t="n"/>
      <c r="D295" s="4" t="n"/>
      <c r="E295" s="4" t="n"/>
      <c r="F295" s="11" t="n"/>
      <c r="G295" s="4" t="n"/>
      <c r="H295" s="11" t="n"/>
      <c r="I295" s="11" t="n"/>
      <c r="J295" s="9">
        <f>IF(OR(F295="",H295=""),"",IF(F295&gt;H295,E295,IF(H295&gt;F295,G295,"")))</f>
        <v/>
      </c>
      <c r="K295" s="4" t="n"/>
      <c r="L295" s="9">
        <f>IF(COUNTA(A295,C295,D295,E295,F295,G295,H295,I295)=0,"",IF(OR(A295="",C295="",E295="",G295=""),"Missing week/class/team",IF(AND(D295="",I295&lt;&gt;"Y"),"No chapter (forfeit?)",IF(AND(D295&lt;&gt;"",I295="Y"),"Forfeit has a chapter",IF(OR(F295="",H295=""),"Missing score",IF(F295=H295,"Tie score",IF(COUNTIFS($A$2:$A$801,A295,$E$2:$E$801,E295)+COUNTIFS($A$2:$A$801,A295,$G$2:$G$801,E295)&gt;1,"Team 1 listed twice this week",IF(COUNTIFS($A$2:$A$801,A295,$E$2:$E$801,G295)+COUNTIFS($A$2:$A$801,A295,$G$2:$G$801,G295)&gt;1,"Team 2 listed twice this week",""))))))))</f>
        <v/>
      </c>
    </row>
    <row r="296">
      <c r="A296" s="11" t="n"/>
      <c r="B296" s="9">
        <f>IF(A296="","",IFERROR(INDEX(Lists!$G$2:$G$7,MATCH(A296,Lists!$F$2:$F$7,0)),"?"))</f>
        <v/>
      </c>
      <c r="C296" s="4" t="n"/>
      <c r="D296" s="4" t="n"/>
      <c r="E296" s="4" t="n"/>
      <c r="F296" s="11" t="n"/>
      <c r="G296" s="4" t="n"/>
      <c r="H296" s="11" t="n"/>
      <c r="I296" s="11" t="n"/>
      <c r="J296" s="9">
        <f>IF(OR(F296="",H296=""),"",IF(F296&gt;H296,E296,IF(H296&gt;F296,G296,"")))</f>
        <v/>
      </c>
      <c r="K296" s="4" t="n"/>
      <c r="L296" s="9">
        <f>IF(COUNTA(A296,C296,D296,E296,F296,G296,H296,I296)=0,"",IF(OR(A296="",C296="",E296="",G296=""),"Missing week/class/team",IF(AND(D296="",I296&lt;&gt;"Y"),"No chapter (forfeit?)",IF(AND(D296&lt;&gt;"",I296="Y"),"Forfeit has a chapter",IF(OR(F296="",H296=""),"Missing score",IF(F296=H296,"Tie score",IF(COUNTIFS($A$2:$A$801,A296,$E$2:$E$801,E296)+COUNTIFS($A$2:$A$801,A296,$G$2:$G$801,E296)&gt;1,"Team 1 listed twice this week",IF(COUNTIFS($A$2:$A$801,A296,$E$2:$E$801,G296)+COUNTIFS($A$2:$A$801,A296,$G$2:$G$801,G296)&gt;1,"Team 2 listed twice this week",""))))))))</f>
        <v/>
      </c>
    </row>
    <row r="297">
      <c r="A297" s="11" t="n"/>
      <c r="B297" s="9">
        <f>IF(A297="","",IFERROR(INDEX(Lists!$G$2:$G$7,MATCH(A297,Lists!$F$2:$F$7,0)),"?"))</f>
        <v/>
      </c>
      <c r="C297" s="4" t="n"/>
      <c r="D297" s="4" t="n"/>
      <c r="E297" s="4" t="n"/>
      <c r="F297" s="11" t="n"/>
      <c r="G297" s="4" t="n"/>
      <c r="H297" s="11" t="n"/>
      <c r="I297" s="11" t="n"/>
      <c r="J297" s="9">
        <f>IF(OR(F297="",H297=""),"",IF(F297&gt;H297,E297,IF(H297&gt;F297,G297,"")))</f>
        <v/>
      </c>
      <c r="K297" s="4" t="n"/>
      <c r="L297" s="9">
        <f>IF(COUNTA(A297,C297,D297,E297,F297,G297,H297,I297)=0,"",IF(OR(A297="",C297="",E297="",G297=""),"Missing week/class/team",IF(AND(D297="",I297&lt;&gt;"Y"),"No chapter (forfeit?)",IF(AND(D297&lt;&gt;"",I297="Y"),"Forfeit has a chapter",IF(OR(F297="",H297=""),"Missing score",IF(F297=H297,"Tie score",IF(COUNTIFS($A$2:$A$801,A297,$E$2:$E$801,E297)+COUNTIFS($A$2:$A$801,A297,$G$2:$G$801,E297)&gt;1,"Team 1 listed twice this week",IF(COUNTIFS($A$2:$A$801,A297,$E$2:$E$801,G297)+COUNTIFS($A$2:$A$801,A297,$G$2:$G$801,G297)&gt;1,"Team 2 listed twice this week",""))))))))</f>
        <v/>
      </c>
    </row>
    <row r="298">
      <c r="A298" s="11" t="n"/>
      <c r="B298" s="9">
        <f>IF(A298="","",IFERROR(INDEX(Lists!$G$2:$G$7,MATCH(A298,Lists!$F$2:$F$7,0)),"?"))</f>
        <v/>
      </c>
      <c r="C298" s="4" t="n"/>
      <c r="D298" s="4" t="n"/>
      <c r="E298" s="4" t="n"/>
      <c r="F298" s="11" t="n"/>
      <c r="G298" s="4" t="n"/>
      <c r="H298" s="11" t="n"/>
      <c r="I298" s="11" t="n"/>
      <c r="J298" s="9">
        <f>IF(OR(F298="",H298=""),"",IF(F298&gt;H298,E298,IF(H298&gt;F298,G298,"")))</f>
        <v/>
      </c>
      <c r="K298" s="4" t="n"/>
      <c r="L298" s="9">
        <f>IF(COUNTA(A298,C298,D298,E298,F298,G298,H298,I298)=0,"",IF(OR(A298="",C298="",E298="",G298=""),"Missing week/class/team",IF(AND(D298="",I298&lt;&gt;"Y"),"No chapter (forfeit?)",IF(AND(D298&lt;&gt;"",I298="Y"),"Forfeit has a chapter",IF(OR(F298="",H298=""),"Missing score",IF(F298=H298,"Tie score",IF(COUNTIFS($A$2:$A$801,A298,$E$2:$E$801,E298)+COUNTIFS($A$2:$A$801,A298,$G$2:$G$801,E298)&gt;1,"Team 1 listed twice this week",IF(COUNTIFS($A$2:$A$801,A298,$E$2:$E$801,G298)+COUNTIFS($A$2:$A$801,A298,$G$2:$G$801,G298)&gt;1,"Team 2 listed twice this week",""))))))))</f>
        <v/>
      </c>
    </row>
    <row r="299">
      <c r="A299" s="11" t="n"/>
      <c r="B299" s="9">
        <f>IF(A299="","",IFERROR(INDEX(Lists!$G$2:$G$7,MATCH(A299,Lists!$F$2:$F$7,0)),"?"))</f>
        <v/>
      </c>
      <c r="C299" s="4" t="n"/>
      <c r="D299" s="4" t="n"/>
      <c r="E299" s="4" t="n"/>
      <c r="F299" s="11" t="n"/>
      <c r="G299" s="4" t="n"/>
      <c r="H299" s="11" t="n"/>
      <c r="I299" s="11" t="n"/>
      <c r="J299" s="9">
        <f>IF(OR(F299="",H299=""),"",IF(F299&gt;H299,E299,IF(H299&gt;F299,G299,"")))</f>
        <v/>
      </c>
      <c r="K299" s="4" t="n"/>
      <c r="L299" s="9">
        <f>IF(COUNTA(A299,C299,D299,E299,F299,G299,H299,I299)=0,"",IF(OR(A299="",C299="",E299="",G299=""),"Missing week/class/team",IF(AND(D299="",I299&lt;&gt;"Y"),"No chapter (forfeit?)",IF(AND(D299&lt;&gt;"",I299="Y"),"Forfeit has a chapter",IF(OR(F299="",H299=""),"Missing score",IF(F299=H299,"Tie score",IF(COUNTIFS($A$2:$A$801,A299,$E$2:$E$801,E299)+COUNTIFS($A$2:$A$801,A299,$G$2:$G$801,E299)&gt;1,"Team 1 listed twice this week",IF(COUNTIFS($A$2:$A$801,A299,$E$2:$E$801,G299)+COUNTIFS($A$2:$A$801,A299,$G$2:$G$801,G299)&gt;1,"Team 2 listed twice this week",""))))))))</f>
        <v/>
      </c>
    </row>
    <row r="300">
      <c r="A300" s="11" t="n"/>
      <c r="B300" s="9">
        <f>IF(A300="","",IFERROR(INDEX(Lists!$G$2:$G$7,MATCH(A300,Lists!$F$2:$F$7,0)),"?"))</f>
        <v/>
      </c>
      <c r="C300" s="4" t="n"/>
      <c r="D300" s="4" t="n"/>
      <c r="E300" s="4" t="n"/>
      <c r="F300" s="11" t="n"/>
      <c r="G300" s="4" t="n"/>
      <c r="H300" s="11" t="n"/>
      <c r="I300" s="11" t="n"/>
      <c r="J300" s="9">
        <f>IF(OR(F300="",H300=""),"",IF(F300&gt;H300,E300,IF(H300&gt;F300,G300,"")))</f>
        <v/>
      </c>
      <c r="K300" s="4" t="n"/>
      <c r="L300" s="9">
        <f>IF(COUNTA(A300,C300,D300,E300,F300,G300,H300,I300)=0,"",IF(OR(A300="",C300="",E300="",G300=""),"Missing week/class/team",IF(AND(D300="",I300&lt;&gt;"Y"),"No chapter (forfeit?)",IF(AND(D300&lt;&gt;"",I300="Y"),"Forfeit has a chapter",IF(OR(F300="",H300=""),"Missing score",IF(F300=H300,"Tie score",IF(COUNTIFS($A$2:$A$801,A300,$E$2:$E$801,E300)+COUNTIFS($A$2:$A$801,A300,$G$2:$G$801,E300)&gt;1,"Team 1 listed twice this week",IF(COUNTIFS($A$2:$A$801,A300,$E$2:$E$801,G300)+COUNTIFS($A$2:$A$801,A300,$G$2:$G$801,G300)&gt;1,"Team 2 listed twice this week",""))))))))</f>
        <v/>
      </c>
    </row>
    <row r="301">
      <c r="A301" s="11" t="n"/>
      <c r="B301" s="9">
        <f>IF(A301="","",IFERROR(INDEX(Lists!$G$2:$G$7,MATCH(A301,Lists!$F$2:$F$7,0)),"?"))</f>
        <v/>
      </c>
      <c r="C301" s="4" t="n"/>
      <c r="D301" s="4" t="n"/>
      <c r="E301" s="4" t="n"/>
      <c r="F301" s="11" t="n"/>
      <c r="G301" s="4" t="n"/>
      <c r="H301" s="11" t="n"/>
      <c r="I301" s="11" t="n"/>
      <c r="J301" s="9">
        <f>IF(OR(F301="",H301=""),"",IF(F301&gt;H301,E301,IF(H301&gt;F301,G301,"")))</f>
        <v/>
      </c>
      <c r="K301" s="4" t="n"/>
      <c r="L301" s="9">
        <f>IF(COUNTA(A301,C301,D301,E301,F301,G301,H301,I301)=0,"",IF(OR(A301="",C301="",E301="",G301=""),"Missing week/class/team",IF(AND(D301="",I301&lt;&gt;"Y"),"No chapter (forfeit?)",IF(AND(D301&lt;&gt;"",I301="Y"),"Forfeit has a chapter",IF(OR(F301="",H301=""),"Missing score",IF(F301=H301,"Tie score",IF(COUNTIFS($A$2:$A$801,A301,$E$2:$E$801,E301)+COUNTIFS($A$2:$A$801,A301,$G$2:$G$801,E301)&gt;1,"Team 1 listed twice this week",IF(COUNTIFS($A$2:$A$801,A301,$E$2:$E$801,G301)+COUNTIFS($A$2:$A$801,A301,$G$2:$G$801,G301)&gt;1,"Team 2 listed twice this week",""))))))))</f>
        <v/>
      </c>
    </row>
    <row r="302">
      <c r="A302" s="11" t="n"/>
      <c r="B302" s="9">
        <f>IF(A302="","",IFERROR(INDEX(Lists!$G$2:$G$7,MATCH(A302,Lists!$F$2:$F$7,0)),"?"))</f>
        <v/>
      </c>
      <c r="C302" s="4" t="n"/>
      <c r="D302" s="4" t="n"/>
      <c r="E302" s="4" t="n"/>
      <c r="F302" s="11" t="n"/>
      <c r="G302" s="4" t="n"/>
      <c r="H302" s="11" t="n"/>
      <c r="I302" s="11" t="n"/>
      <c r="J302" s="9">
        <f>IF(OR(F302="",H302=""),"",IF(F302&gt;H302,E302,IF(H302&gt;F302,G302,"")))</f>
        <v/>
      </c>
      <c r="K302" s="4" t="n"/>
      <c r="L302" s="9">
        <f>IF(COUNTA(A302,C302,D302,E302,F302,G302,H302,I302)=0,"",IF(OR(A302="",C302="",E302="",G302=""),"Missing week/class/team",IF(AND(D302="",I302&lt;&gt;"Y"),"No chapter (forfeit?)",IF(AND(D302&lt;&gt;"",I302="Y"),"Forfeit has a chapter",IF(OR(F302="",H302=""),"Missing score",IF(F302=H302,"Tie score",IF(COUNTIFS($A$2:$A$801,A302,$E$2:$E$801,E302)+COUNTIFS($A$2:$A$801,A302,$G$2:$G$801,E302)&gt;1,"Team 1 listed twice this week",IF(COUNTIFS($A$2:$A$801,A302,$E$2:$E$801,G302)+COUNTIFS($A$2:$A$801,A302,$G$2:$G$801,G302)&gt;1,"Team 2 listed twice this week",""))))))))</f>
        <v/>
      </c>
    </row>
    <row r="303">
      <c r="A303" s="11" t="n"/>
      <c r="B303" s="9">
        <f>IF(A303="","",IFERROR(INDEX(Lists!$G$2:$G$7,MATCH(A303,Lists!$F$2:$F$7,0)),"?"))</f>
        <v/>
      </c>
      <c r="C303" s="4" t="n"/>
      <c r="D303" s="4" t="n"/>
      <c r="E303" s="4" t="n"/>
      <c r="F303" s="11" t="n"/>
      <c r="G303" s="4" t="n"/>
      <c r="H303" s="11" t="n"/>
      <c r="I303" s="11" t="n"/>
      <c r="J303" s="9">
        <f>IF(OR(F303="",H303=""),"",IF(F303&gt;H303,E303,IF(H303&gt;F303,G303,"")))</f>
        <v/>
      </c>
      <c r="K303" s="4" t="n"/>
      <c r="L303" s="9">
        <f>IF(COUNTA(A303,C303,D303,E303,F303,G303,H303,I303)=0,"",IF(OR(A303="",C303="",E303="",G303=""),"Missing week/class/team",IF(AND(D303="",I303&lt;&gt;"Y"),"No chapter (forfeit?)",IF(AND(D303&lt;&gt;"",I303="Y"),"Forfeit has a chapter",IF(OR(F303="",H303=""),"Missing score",IF(F303=H303,"Tie score",IF(COUNTIFS($A$2:$A$801,A303,$E$2:$E$801,E303)+COUNTIFS($A$2:$A$801,A303,$G$2:$G$801,E303)&gt;1,"Team 1 listed twice this week",IF(COUNTIFS($A$2:$A$801,A303,$E$2:$E$801,G303)+COUNTIFS($A$2:$A$801,A303,$G$2:$G$801,G303)&gt;1,"Team 2 listed twice this week",""))))))))</f>
        <v/>
      </c>
    </row>
    <row r="304">
      <c r="A304" s="11" t="n"/>
      <c r="B304" s="9">
        <f>IF(A304="","",IFERROR(INDEX(Lists!$G$2:$G$7,MATCH(A304,Lists!$F$2:$F$7,0)),"?"))</f>
        <v/>
      </c>
      <c r="C304" s="4" t="n"/>
      <c r="D304" s="4" t="n"/>
      <c r="E304" s="4" t="n"/>
      <c r="F304" s="11" t="n"/>
      <c r="G304" s="4" t="n"/>
      <c r="H304" s="11" t="n"/>
      <c r="I304" s="11" t="n"/>
      <c r="J304" s="9">
        <f>IF(OR(F304="",H304=""),"",IF(F304&gt;H304,E304,IF(H304&gt;F304,G304,"")))</f>
        <v/>
      </c>
      <c r="K304" s="4" t="n"/>
      <c r="L304" s="9">
        <f>IF(COUNTA(A304,C304,D304,E304,F304,G304,H304,I304)=0,"",IF(OR(A304="",C304="",E304="",G304=""),"Missing week/class/team",IF(AND(D304="",I304&lt;&gt;"Y"),"No chapter (forfeit?)",IF(AND(D304&lt;&gt;"",I304="Y"),"Forfeit has a chapter",IF(OR(F304="",H304=""),"Missing score",IF(F304=H304,"Tie score",IF(COUNTIFS($A$2:$A$801,A304,$E$2:$E$801,E304)+COUNTIFS($A$2:$A$801,A304,$G$2:$G$801,E304)&gt;1,"Team 1 listed twice this week",IF(COUNTIFS($A$2:$A$801,A304,$E$2:$E$801,G304)+COUNTIFS($A$2:$A$801,A304,$G$2:$G$801,G304)&gt;1,"Team 2 listed twice this week",""))))))))</f>
        <v/>
      </c>
    </row>
    <row r="305">
      <c r="A305" s="11" t="n"/>
      <c r="B305" s="9">
        <f>IF(A305="","",IFERROR(INDEX(Lists!$G$2:$G$7,MATCH(A305,Lists!$F$2:$F$7,0)),"?"))</f>
        <v/>
      </c>
      <c r="C305" s="4" t="n"/>
      <c r="D305" s="4" t="n"/>
      <c r="E305" s="4" t="n"/>
      <c r="F305" s="11" t="n"/>
      <c r="G305" s="4" t="n"/>
      <c r="H305" s="11" t="n"/>
      <c r="I305" s="11" t="n"/>
      <c r="J305" s="9">
        <f>IF(OR(F305="",H305=""),"",IF(F305&gt;H305,E305,IF(H305&gt;F305,G305,"")))</f>
        <v/>
      </c>
      <c r="K305" s="4" t="n"/>
      <c r="L305" s="9">
        <f>IF(COUNTA(A305,C305,D305,E305,F305,G305,H305,I305)=0,"",IF(OR(A305="",C305="",E305="",G305=""),"Missing week/class/team",IF(AND(D305="",I305&lt;&gt;"Y"),"No chapter (forfeit?)",IF(AND(D305&lt;&gt;"",I305="Y"),"Forfeit has a chapter",IF(OR(F305="",H305=""),"Missing score",IF(F305=H305,"Tie score",IF(COUNTIFS($A$2:$A$801,A305,$E$2:$E$801,E305)+COUNTIFS($A$2:$A$801,A305,$G$2:$G$801,E305)&gt;1,"Team 1 listed twice this week",IF(COUNTIFS($A$2:$A$801,A305,$E$2:$E$801,G305)+COUNTIFS($A$2:$A$801,A305,$G$2:$G$801,G305)&gt;1,"Team 2 listed twice this week",""))))))))</f>
        <v/>
      </c>
    </row>
    <row r="306">
      <c r="A306" s="11" t="n"/>
      <c r="B306" s="9">
        <f>IF(A306="","",IFERROR(INDEX(Lists!$G$2:$G$7,MATCH(A306,Lists!$F$2:$F$7,0)),"?"))</f>
        <v/>
      </c>
      <c r="C306" s="4" t="n"/>
      <c r="D306" s="4" t="n"/>
      <c r="E306" s="4" t="n"/>
      <c r="F306" s="11" t="n"/>
      <c r="G306" s="4" t="n"/>
      <c r="H306" s="11" t="n"/>
      <c r="I306" s="11" t="n"/>
      <c r="J306" s="9">
        <f>IF(OR(F306="",H306=""),"",IF(F306&gt;H306,E306,IF(H306&gt;F306,G306,"")))</f>
        <v/>
      </c>
      <c r="K306" s="4" t="n"/>
      <c r="L306" s="9">
        <f>IF(COUNTA(A306,C306,D306,E306,F306,G306,H306,I306)=0,"",IF(OR(A306="",C306="",E306="",G306=""),"Missing week/class/team",IF(AND(D306="",I306&lt;&gt;"Y"),"No chapter (forfeit?)",IF(AND(D306&lt;&gt;"",I306="Y"),"Forfeit has a chapter",IF(OR(F306="",H306=""),"Missing score",IF(F306=H306,"Tie score",IF(COUNTIFS($A$2:$A$801,A306,$E$2:$E$801,E306)+COUNTIFS($A$2:$A$801,A306,$G$2:$G$801,E306)&gt;1,"Team 1 listed twice this week",IF(COUNTIFS($A$2:$A$801,A306,$E$2:$E$801,G306)+COUNTIFS($A$2:$A$801,A306,$G$2:$G$801,G306)&gt;1,"Team 2 listed twice this week",""))))))))</f>
        <v/>
      </c>
    </row>
    <row r="307">
      <c r="A307" s="11" t="n"/>
      <c r="B307" s="9">
        <f>IF(A307="","",IFERROR(INDEX(Lists!$G$2:$G$7,MATCH(A307,Lists!$F$2:$F$7,0)),"?"))</f>
        <v/>
      </c>
      <c r="C307" s="4" t="n"/>
      <c r="D307" s="4" t="n"/>
      <c r="E307" s="4" t="n"/>
      <c r="F307" s="11" t="n"/>
      <c r="G307" s="4" t="n"/>
      <c r="H307" s="11" t="n"/>
      <c r="I307" s="11" t="n"/>
      <c r="J307" s="9">
        <f>IF(OR(F307="",H307=""),"",IF(F307&gt;H307,E307,IF(H307&gt;F307,G307,"")))</f>
        <v/>
      </c>
      <c r="K307" s="4" t="n"/>
      <c r="L307" s="9">
        <f>IF(COUNTA(A307,C307,D307,E307,F307,G307,H307,I307)=0,"",IF(OR(A307="",C307="",E307="",G307=""),"Missing week/class/team",IF(AND(D307="",I307&lt;&gt;"Y"),"No chapter (forfeit?)",IF(AND(D307&lt;&gt;"",I307="Y"),"Forfeit has a chapter",IF(OR(F307="",H307=""),"Missing score",IF(F307=H307,"Tie score",IF(COUNTIFS($A$2:$A$801,A307,$E$2:$E$801,E307)+COUNTIFS($A$2:$A$801,A307,$G$2:$G$801,E307)&gt;1,"Team 1 listed twice this week",IF(COUNTIFS($A$2:$A$801,A307,$E$2:$E$801,G307)+COUNTIFS($A$2:$A$801,A307,$G$2:$G$801,G307)&gt;1,"Team 2 listed twice this week",""))))))))</f>
        <v/>
      </c>
    </row>
    <row r="308">
      <c r="A308" s="11" t="n"/>
      <c r="B308" s="9">
        <f>IF(A308="","",IFERROR(INDEX(Lists!$G$2:$G$7,MATCH(A308,Lists!$F$2:$F$7,0)),"?"))</f>
        <v/>
      </c>
      <c r="C308" s="4" t="n"/>
      <c r="D308" s="4" t="n"/>
      <c r="E308" s="4" t="n"/>
      <c r="F308" s="11" t="n"/>
      <c r="G308" s="4" t="n"/>
      <c r="H308" s="11" t="n"/>
      <c r="I308" s="11" t="n"/>
      <c r="J308" s="9">
        <f>IF(OR(F308="",H308=""),"",IF(F308&gt;H308,E308,IF(H308&gt;F308,G308,"")))</f>
        <v/>
      </c>
      <c r="K308" s="4" t="n"/>
      <c r="L308" s="9">
        <f>IF(COUNTA(A308,C308,D308,E308,F308,G308,H308,I308)=0,"",IF(OR(A308="",C308="",E308="",G308=""),"Missing week/class/team",IF(AND(D308="",I308&lt;&gt;"Y"),"No chapter (forfeit?)",IF(AND(D308&lt;&gt;"",I308="Y"),"Forfeit has a chapter",IF(OR(F308="",H308=""),"Missing score",IF(F308=H308,"Tie score",IF(COUNTIFS($A$2:$A$801,A308,$E$2:$E$801,E308)+COUNTIFS($A$2:$A$801,A308,$G$2:$G$801,E308)&gt;1,"Team 1 listed twice this week",IF(COUNTIFS($A$2:$A$801,A308,$E$2:$E$801,G308)+COUNTIFS($A$2:$A$801,A308,$G$2:$G$801,G308)&gt;1,"Team 2 listed twice this week",""))))))))</f>
        <v/>
      </c>
    </row>
    <row r="309">
      <c r="A309" s="11" t="n"/>
      <c r="B309" s="9">
        <f>IF(A309="","",IFERROR(INDEX(Lists!$G$2:$G$7,MATCH(A309,Lists!$F$2:$F$7,0)),"?"))</f>
        <v/>
      </c>
      <c r="C309" s="4" t="n"/>
      <c r="D309" s="4" t="n"/>
      <c r="E309" s="4" t="n"/>
      <c r="F309" s="11" t="n"/>
      <c r="G309" s="4" t="n"/>
      <c r="H309" s="11" t="n"/>
      <c r="I309" s="11" t="n"/>
      <c r="J309" s="9">
        <f>IF(OR(F309="",H309=""),"",IF(F309&gt;H309,E309,IF(H309&gt;F309,G309,"")))</f>
        <v/>
      </c>
      <c r="K309" s="4" t="n"/>
      <c r="L309" s="9">
        <f>IF(COUNTA(A309,C309,D309,E309,F309,G309,H309,I309)=0,"",IF(OR(A309="",C309="",E309="",G309=""),"Missing week/class/team",IF(AND(D309="",I309&lt;&gt;"Y"),"No chapter (forfeit?)",IF(AND(D309&lt;&gt;"",I309="Y"),"Forfeit has a chapter",IF(OR(F309="",H309=""),"Missing score",IF(F309=H309,"Tie score",IF(COUNTIFS($A$2:$A$801,A309,$E$2:$E$801,E309)+COUNTIFS($A$2:$A$801,A309,$G$2:$G$801,E309)&gt;1,"Team 1 listed twice this week",IF(COUNTIFS($A$2:$A$801,A309,$E$2:$E$801,G309)+COUNTIFS($A$2:$A$801,A309,$G$2:$G$801,G309)&gt;1,"Team 2 listed twice this week",""))))))))</f>
        <v/>
      </c>
    </row>
    <row r="310">
      <c r="A310" s="11" t="n"/>
      <c r="B310" s="9">
        <f>IF(A310="","",IFERROR(INDEX(Lists!$G$2:$G$7,MATCH(A310,Lists!$F$2:$F$7,0)),"?"))</f>
        <v/>
      </c>
      <c r="C310" s="4" t="n"/>
      <c r="D310" s="4" t="n"/>
      <c r="E310" s="4" t="n"/>
      <c r="F310" s="11" t="n"/>
      <c r="G310" s="4" t="n"/>
      <c r="H310" s="11" t="n"/>
      <c r="I310" s="11" t="n"/>
      <c r="J310" s="9">
        <f>IF(OR(F310="",H310=""),"",IF(F310&gt;H310,E310,IF(H310&gt;F310,G310,"")))</f>
        <v/>
      </c>
      <c r="K310" s="4" t="n"/>
      <c r="L310" s="9">
        <f>IF(COUNTA(A310,C310,D310,E310,F310,G310,H310,I310)=0,"",IF(OR(A310="",C310="",E310="",G310=""),"Missing week/class/team",IF(AND(D310="",I310&lt;&gt;"Y"),"No chapter (forfeit?)",IF(AND(D310&lt;&gt;"",I310="Y"),"Forfeit has a chapter",IF(OR(F310="",H310=""),"Missing score",IF(F310=H310,"Tie score",IF(COUNTIFS($A$2:$A$801,A310,$E$2:$E$801,E310)+COUNTIFS($A$2:$A$801,A310,$G$2:$G$801,E310)&gt;1,"Team 1 listed twice this week",IF(COUNTIFS($A$2:$A$801,A310,$E$2:$E$801,G310)+COUNTIFS($A$2:$A$801,A310,$G$2:$G$801,G310)&gt;1,"Team 2 listed twice this week",""))))))))</f>
        <v/>
      </c>
    </row>
    <row r="311">
      <c r="A311" s="11" t="n"/>
      <c r="B311" s="9">
        <f>IF(A311="","",IFERROR(INDEX(Lists!$G$2:$G$7,MATCH(A311,Lists!$F$2:$F$7,0)),"?"))</f>
        <v/>
      </c>
      <c r="C311" s="4" t="n"/>
      <c r="D311" s="4" t="n"/>
      <c r="E311" s="4" t="n"/>
      <c r="F311" s="11" t="n"/>
      <c r="G311" s="4" t="n"/>
      <c r="H311" s="11" t="n"/>
      <c r="I311" s="11" t="n"/>
      <c r="J311" s="9">
        <f>IF(OR(F311="",H311=""),"",IF(F311&gt;H311,E311,IF(H311&gt;F311,G311,"")))</f>
        <v/>
      </c>
      <c r="K311" s="4" t="n"/>
      <c r="L311" s="9">
        <f>IF(COUNTA(A311,C311,D311,E311,F311,G311,H311,I311)=0,"",IF(OR(A311="",C311="",E311="",G311=""),"Missing week/class/team",IF(AND(D311="",I311&lt;&gt;"Y"),"No chapter (forfeit?)",IF(AND(D311&lt;&gt;"",I311="Y"),"Forfeit has a chapter",IF(OR(F311="",H311=""),"Missing score",IF(F311=H311,"Tie score",IF(COUNTIFS($A$2:$A$801,A311,$E$2:$E$801,E311)+COUNTIFS($A$2:$A$801,A311,$G$2:$G$801,E311)&gt;1,"Team 1 listed twice this week",IF(COUNTIFS($A$2:$A$801,A311,$E$2:$E$801,G311)+COUNTIFS($A$2:$A$801,A311,$G$2:$G$801,G311)&gt;1,"Team 2 listed twice this week",""))))))))</f>
        <v/>
      </c>
    </row>
    <row r="312">
      <c r="A312" s="11" t="n"/>
      <c r="B312" s="9">
        <f>IF(A312="","",IFERROR(INDEX(Lists!$G$2:$G$7,MATCH(A312,Lists!$F$2:$F$7,0)),"?"))</f>
        <v/>
      </c>
      <c r="C312" s="4" t="n"/>
      <c r="D312" s="4" t="n"/>
      <c r="E312" s="4" t="n"/>
      <c r="F312" s="11" t="n"/>
      <c r="G312" s="4" t="n"/>
      <c r="H312" s="11" t="n"/>
      <c r="I312" s="11" t="n"/>
      <c r="J312" s="9">
        <f>IF(OR(F312="",H312=""),"",IF(F312&gt;H312,E312,IF(H312&gt;F312,G312,"")))</f>
        <v/>
      </c>
      <c r="K312" s="4" t="n"/>
      <c r="L312" s="9">
        <f>IF(COUNTA(A312,C312,D312,E312,F312,G312,H312,I312)=0,"",IF(OR(A312="",C312="",E312="",G312=""),"Missing week/class/team",IF(AND(D312="",I312&lt;&gt;"Y"),"No chapter (forfeit?)",IF(AND(D312&lt;&gt;"",I312="Y"),"Forfeit has a chapter",IF(OR(F312="",H312=""),"Missing score",IF(F312=H312,"Tie score",IF(COUNTIFS($A$2:$A$801,A312,$E$2:$E$801,E312)+COUNTIFS($A$2:$A$801,A312,$G$2:$G$801,E312)&gt;1,"Team 1 listed twice this week",IF(COUNTIFS($A$2:$A$801,A312,$E$2:$E$801,G312)+COUNTIFS($A$2:$A$801,A312,$G$2:$G$801,G312)&gt;1,"Team 2 listed twice this week",""))))))))</f>
        <v/>
      </c>
    </row>
    <row r="313">
      <c r="A313" s="11" t="n"/>
      <c r="B313" s="9">
        <f>IF(A313="","",IFERROR(INDEX(Lists!$G$2:$G$7,MATCH(A313,Lists!$F$2:$F$7,0)),"?"))</f>
        <v/>
      </c>
      <c r="C313" s="4" t="n"/>
      <c r="D313" s="4" t="n"/>
      <c r="E313" s="4" t="n"/>
      <c r="F313" s="11" t="n"/>
      <c r="G313" s="4" t="n"/>
      <c r="H313" s="11" t="n"/>
      <c r="I313" s="11" t="n"/>
      <c r="J313" s="9">
        <f>IF(OR(F313="",H313=""),"",IF(F313&gt;H313,E313,IF(H313&gt;F313,G313,"")))</f>
        <v/>
      </c>
      <c r="K313" s="4" t="n"/>
      <c r="L313" s="9">
        <f>IF(COUNTA(A313,C313,D313,E313,F313,G313,H313,I313)=0,"",IF(OR(A313="",C313="",E313="",G313=""),"Missing week/class/team",IF(AND(D313="",I313&lt;&gt;"Y"),"No chapter (forfeit?)",IF(AND(D313&lt;&gt;"",I313="Y"),"Forfeit has a chapter",IF(OR(F313="",H313=""),"Missing score",IF(F313=H313,"Tie score",IF(COUNTIFS($A$2:$A$801,A313,$E$2:$E$801,E313)+COUNTIFS($A$2:$A$801,A313,$G$2:$G$801,E313)&gt;1,"Team 1 listed twice this week",IF(COUNTIFS($A$2:$A$801,A313,$E$2:$E$801,G313)+COUNTIFS($A$2:$A$801,A313,$G$2:$G$801,G313)&gt;1,"Team 2 listed twice this week",""))))))))</f>
        <v/>
      </c>
    </row>
    <row r="314">
      <c r="A314" s="11" t="n"/>
      <c r="B314" s="9">
        <f>IF(A314="","",IFERROR(INDEX(Lists!$G$2:$G$7,MATCH(A314,Lists!$F$2:$F$7,0)),"?"))</f>
        <v/>
      </c>
      <c r="C314" s="4" t="n"/>
      <c r="D314" s="4" t="n"/>
      <c r="E314" s="4" t="n"/>
      <c r="F314" s="11" t="n"/>
      <c r="G314" s="4" t="n"/>
      <c r="H314" s="11" t="n"/>
      <c r="I314" s="11" t="n"/>
      <c r="J314" s="9">
        <f>IF(OR(F314="",H314=""),"",IF(F314&gt;H314,E314,IF(H314&gt;F314,G314,"")))</f>
        <v/>
      </c>
      <c r="K314" s="4" t="n"/>
      <c r="L314" s="9">
        <f>IF(COUNTA(A314,C314,D314,E314,F314,G314,H314,I314)=0,"",IF(OR(A314="",C314="",E314="",G314=""),"Missing week/class/team",IF(AND(D314="",I314&lt;&gt;"Y"),"No chapter (forfeit?)",IF(AND(D314&lt;&gt;"",I314="Y"),"Forfeit has a chapter",IF(OR(F314="",H314=""),"Missing score",IF(F314=H314,"Tie score",IF(COUNTIFS($A$2:$A$801,A314,$E$2:$E$801,E314)+COUNTIFS($A$2:$A$801,A314,$G$2:$G$801,E314)&gt;1,"Team 1 listed twice this week",IF(COUNTIFS($A$2:$A$801,A314,$E$2:$E$801,G314)+COUNTIFS($A$2:$A$801,A314,$G$2:$G$801,G314)&gt;1,"Team 2 listed twice this week",""))))))))</f>
        <v/>
      </c>
    </row>
    <row r="315">
      <c r="A315" s="11" t="n"/>
      <c r="B315" s="9">
        <f>IF(A315="","",IFERROR(INDEX(Lists!$G$2:$G$7,MATCH(A315,Lists!$F$2:$F$7,0)),"?"))</f>
        <v/>
      </c>
      <c r="C315" s="4" t="n"/>
      <c r="D315" s="4" t="n"/>
      <c r="E315" s="4" t="n"/>
      <c r="F315" s="11" t="n"/>
      <c r="G315" s="4" t="n"/>
      <c r="H315" s="11" t="n"/>
      <c r="I315" s="11" t="n"/>
      <c r="J315" s="9">
        <f>IF(OR(F315="",H315=""),"",IF(F315&gt;H315,E315,IF(H315&gt;F315,G315,"")))</f>
        <v/>
      </c>
      <c r="K315" s="4" t="n"/>
      <c r="L315" s="9">
        <f>IF(COUNTA(A315,C315,D315,E315,F315,G315,H315,I315)=0,"",IF(OR(A315="",C315="",E315="",G315=""),"Missing week/class/team",IF(AND(D315="",I315&lt;&gt;"Y"),"No chapter (forfeit?)",IF(AND(D315&lt;&gt;"",I315="Y"),"Forfeit has a chapter",IF(OR(F315="",H315=""),"Missing score",IF(F315=H315,"Tie score",IF(COUNTIFS($A$2:$A$801,A315,$E$2:$E$801,E315)+COUNTIFS($A$2:$A$801,A315,$G$2:$G$801,E315)&gt;1,"Team 1 listed twice this week",IF(COUNTIFS($A$2:$A$801,A315,$E$2:$E$801,G315)+COUNTIFS($A$2:$A$801,A315,$G$2:$G$801,G315)&gt;1,"Team 2 listed twice this week",""))))))))</f>
        <v/>
      </c>
    </row>
    <row r="316">
      <c r="A316" s="11" t="n"/>
      <c r="B316" s="9">
        <f>IF(A316="","",IFERROR(INDEX(Lists!$G$2:$G$7,MATCH(A316,Lists!$F$2:$F$7,0)),"?"))</f>
        <v/>
      </c>
      <c r="C316" s="4" t="n"/>
      <c r="D316" s="4" t="n"/>
      <c r="E316" s="4" t="n"/>
      <c r="F316" s="11" t="n"/>
      <c r="G316" s="4" t="n"/>
      <c r="H316" s="11" t="n"/>
      <c r="I316" s="11" t="n"/>
      <c r="J316" s="9">
        <f>IF(OR(F316="",H316=""),"",IF(F316&gt;H316,E316,IF(H316&gt;F316,G316,"")))</f>
        <v/>
      </c>
      <c r="K316" s="4" t="n"/>
      <c r="L316" s="9">
        <f>IF(COUNTA(A316,C316,D316,E316,F316,G316,H316,I316)=0,"",IF(OR(A316="",C316="",E316="",G316=""),"Missing week/class/team",IF(AND(D316="",I316&lt;&gt;"Y"),"No chapter (forfeit?)",IF(AND(D316&lt;&gt;"",I316="Y"),"Forfeit has a chapter",IF(OR(F316="",H316=""),"Missing score",IF(F316=H316,"Tie score",IF(COUNTIFS($A$2:$A$801,A316,$E$2:$E$801,E316)+COUNTIFS($A$2:$A$801,A316,$G$2:$G$801,E316)&gt;1,"Team 1 listed twice this week",IF(COUNTIFS($A$2:$A$801,A316,$E$2:$E$801,G316)+COUNTIFS($A$2:$A$801,A316,$G$2:$G$801,G316)&gt;1,"Team 2 listed twice this week",""))))))))</f>
        <v/>
      </c>
    </row>
    <row r="317">
      <c r="A317" s="11" t="n"/>
      <c r="B317" s="9">
        <f>IF(A317="","",IFERROR(INDEX(Lists!$G$2:$G$7,MATCH(A317,Lists!$F$2:$F$7,0)),"?"))</f>
        <v/>
      </c>
      <c r="C317" s="4" t="n"/>
      <c r="D317" s="4" t="n"/>
      <c r="E317" s="4" t="n"/>
      <c r="F317" s="11" t="n"/>
      <c r="G317" s="4" t="n"/>
      <c r="H317" s="11" t="n"/>
      <c r="I317" s="11" t="n"/>
      <c r="J317" s="9">
        <f>IF(OR(F317="",H317=""),"",IF(F317&gt;H317,E317,IF(H317&gt;F317,G317,"")))</f>
        <v/>
      </c>
      <c r="K317" s="4" t="n"/>
      <c r="L317" s="9">
        <f>IF(COUNTA(A317,C317,D317,E317,F317,G317,H317,I317)=0,"",IF(OR(A317="",C317="",E317="",G317=""),"Missing week/class/team",IF(AND(D317="",I317&lt;&gt;"Y"),"No chapter (forfeit?)",IF(AND(D317&lt;&gt;"",I317="Y"),"Forfeit has a chapter",IF(OR(F317="",H317=""),"Missing score",IF(F317=H317,"Tie score",IF(COUNTIFS($A$2:$A$801,A317,$E$2:$E$801,E317)+COUNTIFS($A$2:$A$801,A317,$G$2:$G$801,E317)&gt;1,"Team 1 listed twice this week",IF(COUNTIFS($A$2:$A$801,A317,$E$2:$E$801,G317)+COUNTIFS($A$2:$A$801,A317,$G$2:$G$801,G317)&gt;1,"Team 2 listed twice this week",""))))))))</f>
        <v/>
      </c>
    </row>
    <row r="318">
      <c r="A318" s="11" t="n"/>
      <c r="B318" s="9">
        <f>IF(A318="","",IFERROR(INDEX(Lists!$G$2:$G$7,MATCH(A318,Lists!$F$2:$F$7,0)),"?"))</f>
        <v/>
      </c>
      <c r="C318" s="4" t="n"/>
      <c r="D318" s="4" t="n"/>
      <c r="E318" s="4" t="n"/>
      <c r="F318" s="11" t="n"/>
      <c r="G318" s="4" t="n"/>
      <c r="H318" s="11" t="n"/>
      <c r="I318" s="11" t="n"/>
      <c r="J318" s="9">
        <f>IF(OR(F318="",H318=""),"",IF(F318&gt;H318,E318,IF(H318&gt;F318,G318,"")))</f>
        <v/>
      </c>
      <c r="K318" s="4" t="n"/>
      <c r="L318" s="9">
        <f>IF(COUNTA(A318,C318,D318,E318,F318,G318,H318,I318)=0,"",IF(OR(A318="",C318="",E318="",G318=""),"Missing week/class/team",IF(AND(D318="",I318&lt;&gt;"Y"),"No chapter (forfeit?)",IF(AND(D318&lt;&gt;"",I318="Y"),"Forfeit has a chapter",IF(OR(F318="",H318=""),"Missing score",IF(F318=H318,"Tie score",IF(COUNTIFS($A$2:$A$801,A318,$E$2:$E$801,E318)+COUNTIFS($A$2:$A$801,A318,$G$2:$G$801,E318)&gt;1,"Team 1 listed twice this week",IF(COUNTIFS($A$2:$A$801,A318,$E$2:$E$801,G318)+COUNTIFS($A$2:$A$801,A318,$G$2:$G$801,G318)&gt;1,"Team 2 listed twice this week",""))))))))</f>
        <v/>
      </c>
    </row>
    <row r="319">
      <c r="A319" s="11" t="n"/>
      <c r="B319" s="9">
        <f>IF(A319="","",IFERROR(INDEX(Lists!$G$2:$G$7,MATCH(A319,Lists!$F$2:$F$7,0)),"?"))</f>
        <v/>
      </c>
      <c r="C319" s="4" t="n"/>
      <c r="D319" s="4" t="n"/>
      <c r="E319" s="4" t="n"/>
      <c r="F319" s="11" t="n"/>
      <c r="G319" s="4" t="n"/>
      <c r="H319" s="11" t="n"/>
      <c r="I319" s="11" t="n"/>
      <c r="J319" s="9">
        <f>IF(OR(F319="",H319=""),"",IF(F319&gt;H319,E319,IF(H319&gt;F319,G319,"")))</f>
        <v/>
      </c>
      <c r="K319" s="4" t="n"/>
      <c r="L319" s="9">
        <f>IF(COUNTA(A319,C319,D319,E319,F319,G319,H319,I319)=0,"",IF(OR(A319="",C319="",E319="",G319=""),"Missing week/class/team",IF(AND(D319="",I319&lt;&gt;"Y"),"No chapter (forfeit?)",IF(AND(D319&lt;&gt;"",I319="Y"),"Forfeit has a chapter",IF(OR(F319="",H319=""),"Missing score",IF(F319=H319,"Tie score",IF(COUNTIFS($A$2:$A$801,A319,$E$2:$E$801,E319)+COUNTIFS($A$2:$A$801,A319,$G$2:$G$801,E319)&gt;1,"Team 1 listed twice this week",IF(COUNTIFS($A$2:$A$801,A319,$E$2:$E$801,G319)+COUNTIFS($A$2:$A$801,A319,$G$2:$G$801,G319)&gt;1,"Team 2 listed twice this week",""))))))))</f>
        <v/>
      </c>
    </row>
    <row r="320">
      <c r="A320" s="11" t="n"/>
      <c r="B320" s="9">
        <f>IF(A320="","",IFERROR(INDEX(Lists!$G$2:$G$7,MATCH(A320,Lists!$F$2:$F$7,0)),"?"))</f>
        <v/>
      </c>
      <c r="C320" s="4" t="n"/>
      <c r="D320" s="4" t="n"/>
      <c r="E320" s="4" t="n"/>
      <c r="F320" s="11" t="n"/>
      <c r="G320" s="4" t="n"/>
      <c r="H320" s="11" t="n"/>
      <c r="I320" s="11" t="n"/>
      <c r="J320" s="9">
        <f>IF(OR(F320="",H320=""),"",IF(F320&gt;H320,E320,IF(H320&gt;F320,G320,"")))</f>
        <v/>
      </c>
      <c r="K320" s="4" t="n"/>
      <c r="L320" s="9">
        <f>IF(COUNTA(A320,C320,D320,E320,F320,G320,H320,I320)=0,"",IF(OR(A320="",C320="",E320="",G320=""),"Missing week/class/team",IF(AND(D320="",I320&lt;&gt;"Y"),"No chapter (forfeit?)",IF(AND(D320&lt;&gt;"",I320="Y"),"Forfeit has a chapter",IF(OR(F320="",H320=""),"Missing score",IF(F320=H320,"Tie score",IF(COUNTIFS($A$2:$A$801,A320,$E$2:$E$801,E320)+COUNTIFS($A$2:$A$801,A320,$G$2:$G$801,E320)&gt;1,"Team 1 listed twice this week",IF(COUNTIFS($A$2:$A$801,A320,$E$2:$E$801,G320)+COUNTIFS($A$2:$A$801,A320,$G$2:$G$801,G320)&gt;1,"Team 2 listed twice this week",""))))))))</f>
        <v/>
      </c>
    </row>
    <row r="321">
      <c r="A321" s="11" t="n"/>
      <c r="B321" s="9">
        <f>IF(A321="","",IFERROR(INDEX(Lists!$G$2:$G$7,MATCH(A321,Lists!$F$2:$F$7,0)),"?"))</f>
        <v/>
      </c>
      <c r="C321" s="4" t="n"/>
      <c r="D321" s="4" t="n"/>
      <c r="E321" s="4" t="n"/>
      <c r="F321" s="11" t="n"/>
      <c r="G321" s="4" t="n"/>
      <c r="H321" s="11" t="n"/>
      <c r="I321" s="11" t="n"/>
      <c r="J321" s="9">
        <f>IF(OR(F321="",H321=""),"",IF(F321&gt;H321,E321,IF(H321&gt;F321,G321,"")))</f>
        <v/>
      </c>
      <c r="K321" s="4" t="n"/>
      <c r="L321" s="9">
        <f>IF(COUNTA(A321,C321,D321,E321,F321,G321,H321,I321)=0,"",IF(OR(A321="",C321="",E321="",G321=""),"Missing week/class/team",IF(AND(D321="",I321&lt;&gt;"Y"),"No chapter (forfeit?)",IF(AND(D321&lt;&gt;"",I321="Y"),"Forfeit has a chapter",IF(OR(F321="",H321=""),"Missing score",IF(F321=H321,"Tie score",IF(COUNTIFS($A$2:$A$801,A321,$E$2:$E$801,E321)+COUNTIFS($A$2:$A$801,A321,$G$2:$G$801,E321)&gt;1,"Team 1 listed twice this week",IF(COUNTIFS($A$2:$A$801,A321,$E$2:$E$801,G321)+COUNTIFS($A$2:$A$801,A321,$G$2:$G$801,G321)&gt;1,"Team 2 listed twice this week",""))))))))</f>
        <v/>
      </c>
    </row>
    <row r="322">
      <c r="A322" s="11" t="n"/>
      <c r="B322" s="9">
        <f>IF(A322="","",IFERROR(INDEX(Lists!$G$2:$G$7,MATCH(A322,Lists!$F$2:$F$7,0)),"?"))</f>
        <v/>
      </c>
      <c r="C322" s="4" t="n"/>
      <c r="D322" s="4" t="n"/>
      <c r="E322" s="4" t="n"/>
      <c r="F322" s="11" t="n"/>
      <c r="G322" s="4" t="n"/>
      <c r="H322" s="11" t="n"/>
      <c r="I322" s="11" t="n"/>
      <c r="J322" s="9">
        <f>IF(OR(F322="",H322=""),"",IF(F322&gt;H322,E322,IF(H322&gt;F322,G322,"")))</f>
        <v/>
      </c>
      <c r="K322" s="4" t="n"/>
      <c r="L322" s="9">
        <f>IF(COUNTA(A322,C322,D322,E322,F322,G322,H322,I322)=0,"",IF(OR(A322="",C322="",E322="",G322=""),"Missing week/class/team",IF(AND(D322="",I322&lt;&gt;"Y"),"No chapter (forfeit?)",IF(AND(D322&lt;&gt;"",I322="Y"),"Forfeit has a chapter",IF(OR(F322="",H322=""),"Missing score",IF(F322=H322,"Tie score",IF(COUNTIFS($A$2:$A$801,A322,$E$2:$E$801,E322)+COUNTIFS($A$2:$A$801,A322,$G$2:$G$801,E322)&gt;1,"Team 1 listed twice this week",IF(COUNTIFS($A$2:$A$801,A322,$E$2:$E$801,G322)+COUNTIFS($A$2:$A$801,A322,$G$2:$G$801,G322)&gt;1,"Team 2 listed twice this week",""))))))))</f>
        <v/>
      </c>
    </row>
    <row r="323">
      <c r="A323" s="11" t="n"/>
      <c r="B323" s="9">
        <f>IF(A323="","",IFERROR(INDEX(Lists!$G$2:$G$7,MATCH(A323,Lists!$F$2:$F$7,0)),"?"))</f>
        <v/>
      </c>
      <c r="C323" s="4" t="n"/>
      <c r="D323" s="4" t="n"/>
      <c r="E323" s="4" t="n"/>
      <c r="F323" s="11" t="n"/>
      <c r="G323" s="4" t="n"/>
      <c r="H323" s="11" t="n"/>
      <c r="I323" s="11" t="n"/>
      <c r="J323" s="9">
        <f>IF(OR(F323="",H323=""),"",IF(F323&gt;H323,E323,IF(H323&gt;F323,G323,"")))</f>
        <v/>
      </c>
      <c r="K323" s="4" t="n"/>
      <c r="L323" s="9">
        <f>IF(COUNTA(A323,C323,D323,E323,F323,G323,H323,I323)=0,"",IF(OR(A323="",C323="",E323="",G323=""),"Missing week/class/team",IF(AND(D323="",I323&lt;&gt;"Y"),"No chapter (forfeit?)",IF(AND(D323&lt;&gt;"",I323="Y"),"Forfeit has a chapter",IF(OR(F323="",H323=""),"Missing score",IF(F323=H323,"Tie score",IF(COUNTIFS($A$2:$A$801,A323,$E$2:$E$801,E323)+COUNTIFS($A$2:$A$801,A323,$G$2:$G$801,E323)&gt;1,"Team 1 listed twice this week",IF(COUNTIFS($A$2:$A$801,A323,$E$2:$E$801,G323)+COUNTIFS($A$2:$A$801,A323,$G$2:$G$801,G323)&gt;1,"Team 2 listed twice this week",""))))))))</f>
        <v/>
      </c>
    </row>
    <row r="324">
      <c r="A324" s="11" t="n"/>
      <c r="B324" s="9">
        <f>IF(A324="","",IFERROR(INDEX(Lists!$G$2:$G$7,MATCH(A324,Lists!$F$2:$F$7,0)),"?"))</f>
        <v/>
      </c>
      <c r="C324" s="4" t="n"/>
      <c r="D324" s="4" t="n"/>
      <c r="E324" s="4" t="n"/>
      <c r="F324" s="11" t="n"/>
      <c r="G324" s="4" t="n"/>
      <c r="H324" s="11" t="n"/>
      <c r="I324" s="11" t="n"/>
      <c r="J324" s="9">
        <f>IF(OR(F324="",H324=""),"",IF(F324&gt;H324,E324,IF(H324&gt;F324,G324,"")))</f>
        <v/>
      </c>
      <c r="K324" s="4" t="n"/>
      <c r="L324" s="9">
        <f>IF(COUNTA(A324,C324,D324,E324,F324,G324,H324,I324)=0,"",IF(OR(A324="",C324="",E324="",G324=""),"Missing week/class/team",IF(AND(D324="",I324&lt;&gt;"Y"),"No chapter (forfeit?)",IF(AND(D324&lt;&gt;"",I324="Y"),"Forfeit has a chapter",IF(OR(F324="",H324=""),"Missing score",IF(F324=H324,"Tie score",IF(COUNTIFS($A$2:$A$801,A324,$E$2:$E$801,E324)+COUNTIFS($A$2:$A$801,A324,$G$2:$G$801,E324)&gt;1,"Team 1 listed twice this week",IF(COUNTIFS($A$2:$A$801,A324,$E$2:$E$801,G324)+COUNTIFS($A$2:$A$801,A324,$G$2:$G$801,G324)&gt;1,"Team 2 listed twice this week",""))))))))</f>
        <v/>
      </c>
    </row>
    <row r="325">
      <c r="A325" s="11" t="n"/>
      <c r="B325" s="9">
        <f>IF(A325="","",IFERROR(INDEX(Lists!$G$2:$G$7,MATCH(A325,Lists!$F$2:$F$7,0)),"?"))</f>
        <v/>
      </c>
      <c r="C325" s="4" t="n"/>
      <c r="D325" s="4" t="n"/>
      <c r="E325" s="4" t="n"/>
      <c r="F325" s="11" t="n"/>
      <c r="G325" s="4" t="n"/>
      <c r="H325" s="11" t="n"/>
      <c r="I325" s="11" t="n"/>
      <c r="J325" s="9">
        <f>IF(OR(F325="",H325=""),"",IF(F325&gt;H325,E325,IF(H325&gt;F325,G325,"")))</f>
        <v/>
      </c>
      <c r="K325" s="4" t="n"/>
      <c r="L325" s="9">
        <f>IF(COUNTA(A325,C325,D325,E325,F325,G325,H325,I325)=0,"",IF(OR(A325="",C325="",E325="",G325=""),"Missing week/class/team",IF(AND(D325="",I325&lt;&gt;"Y"),"No chapter (forfeit?)",IF(AND(D325&lt;&gt;"",I325="Y"),"Forfeit has a chapter",IF(OR(F325="",H325=""),"Missing score",IF(F325=H325,"Tie score",IF(COUNTIFS($A$2:$A$801,A325,$E$2:$E$801,E325)+COUNTIFS($A$2:$A$801,A325,$G$2:$G$801,E325)&gt;1,"Team 1 listed twice this week",IF(COUNTIFS($A$2:$A$801,A325,$E$2:$E$801,G325)+COUNTIFS($A$2:$A$801,A325,$G$2:$G$801,G325)&gt;1,"Team 2 listed twice this week",""))))))))</f>
        <v/>
      </c>
    </row>
    <row r="326">
      <c r="A326" s="11" t="n"/>
      <c r="B326" s="9">
        <f>IF(A326="","",IFERROR(INDEX(Lists!$G$2:$G$7,MATCH(A326,Lists!$F$2:$F$7,0)),"?"))</f>
        <v/>
      </c>
      <c r="C326" s="4" t="n"/>
      <c r="D326" s="4" t="n"/>
      <c r="E326" s="4" t="n"/>
      <c r="F326" s="11" t="n"/>
      <c r="G326" s="4" t="n"/>
      <c r="H326" s="11" t="n"/>
      <c r="I326" s="11" t="n"/>
      <c r="J326" s="9">
        <f>IF(OR(F326="",H326=""),"",IF(F326&gt;H326,E326,IF(H326&gt;F326,G326,"")))</f>
        <v/>
      </c>
      <c r="K326" s="4" t="n"/>
      <c r="L326" s="9">
        <f>IF(COUNTA(A326,C326,D326,E326,F326,G326,H326,I326)=0,"",IF(OR(A326="",C326="",E326="",G326=""),"Missing week/class/team",IF(AND(D326="",I326&lt;&gt;"Y"),"No chapter (forfeit?)",IF(AND(D326&lt;&gt;"",I326="Y"),"Forfeit has a chapter",IF(OR(F326="",H326=""),"Missing score",IF(F326=H326,"Tie score",IF(COUNTIFS($A$2:$A$801,A326,$E$2:$E$801,E326)+COUNTIFS($A$2:$A$801,A326,$G$2:$G$801,E326)&gt;1,"Team 1 listed twice this week",IF(COUNTIFS($A$2:$A$801,A326,$E$2:$E$801,G326)+COUNTIFS($A$2:$A$801,A326,$G$2:$G$801,G326)&gt;1,"Team 2 listed twice this week",""))))))))</f>
        <v/>
      </c>
    </row>
    <row r="327">
      <c r="A327" s="11" t="n"/>
      <c r="B327" s="9">
        <f>IF(A327="","",IFERROR(INDEX(Lists!$G$2:$G$7,MATCH(A327,Lists!$F$2:$F$7,0)),"?"))</f>
        <v/>
      </c>
      <c r="C327" s="4" t="n"/>
      <c r="D327" s="4" t="n"/>
      <c r="E327" s="4" t="n"/>
      <c r="F327" s="11" t="n"/>
      <c r="G327" s="4" t="n"/>
      <c r="H327" s="11" t="n"/>
      <c r="I327" s="11" t="n"/>
      <c r="J327" s="9">
        <f>IF(OR(F327="",H327=""),"",IF(F327&gt;H327,E327,IF(H327&gt;F327,G327,"")))</f>
        <v/>
      </c>
      <c r="K327" s="4" t="n"/>
      <c r="L327" s="9">
        <f>IF(COUNTA(A327,C327,D327,E327,F327,G327,H327,I327)=0,"",IF(OR(A327="",C327="",E327="",G327=""),"Missing week/class/team",IF(AND(D327="",I327&lt;&gt;"Y"),"No chapter (forfeit?)",IF(AND(D327&lt;&gt;"",I327="Y"),"Forfeit has a chapter",IF(OR(F327="",H327=""),"Missing score",IF(F327=H327,"Tie score",IF(COUNTIFS($A$2:$A$801,A327,$E$2:$E$801,E327)+COUNTIFS($A$2:$A$801,A327,$G$2:$G$801,E327)&gt;1,"Team 1 listed twice this week",IF(COUNTIFS($A$2:$A$801,A327,$E$2:$E$801,G327)+COUNTIFS($A$2:$A$801,A327,$G$2:$G$801,G327)&gt;1,"Team 2 listed twice this week",""))))))))</f>
        <v/>
      </c>
    </row>
    <row r="328">
      <c r="A328" s="11" t="n"/>
      <c r="B328" s="9">
        <f>IF(A328="","",IFERROR(INDEX(Lists!$G$2:$G$7,MATCH(A328,Lists!$F$2:$F$7,0)),"?"))</f>
        <v/>
      </c>
      <c r="C328" s="4" t="n"/>
      <c r="D328" s="4" t="n"/>
      <c r="E328" s="4" t="n"/>
      <c r="F328" s="11" t="n"/>
      <c r="G328" s="4" t="n"/>
      <c r="H328" s="11" t="n"/>
      <c r="I328" s="11" t="n"/>
      <c r="J328" s="9">
        <f>IF(OR(F328="",H328=""),"",IF(F328&gt;H328,E328,IF(H328&gt;F328,G328,"")))</f>
        <v/>
      </c>
      <c r="K328" s="4" t="n"/>
      <c r="L328" s="9">
        <f>IF(COUNTA(A328,C328,D328,E328,F328,G328,H328,I328)=0,"",IF(OR(A328="",C328="",E328="",G328=""),"Missing week/class/team",IF(AND(D328="",I328&lt;&gt;"Y"),"No chapter (forfeit?)",IF(AND(D328&lt;&gt;"",I328="Y"),"Forfeit has a chapter",IF(OR(F328="",H328=""),"Missing score",IF(F328=H328,"Tie score",IF(COUNTIFS($A$2:$A$801,A328,$E$2:$E$801,E328)+COUNTIFS($A$2:$A$801,A328,$G$2:$G$801,E328)&gt;1,"Team 1 listed twice this week",IF(COUNTIFS($A$2:$A$801,A328,$E$2:$E$801,G328)+COUNTIFS($A$2:$A$801,A328,$G$2:$G$801,G328)&gt;1,"Team 2 listed twice this week",""))))))))</f>
        <v/>
      </c>
    </row>
    <row r="329">
      <c r="A329" s="11" t="n"/>
      <c r="B329" s="9">
        <f>IF(A329="","",IFERROR(INDEX(Lists!$G$2:$G$7,MATCH(A329,Lists!$F$2:$F$7,0)),"?"))</f>
        <v/>
      </c>
      <c r="C329" s="4" t="n"/>
      <c r="D329" s="4" t="n"/>
      <c r="E329" s="4" t="n"/>
      <c r="F329" s="11" t="n"/>
      <c r="G329" s="4" t="n"/>
      <c r="H329" s="11" t="n"/>
      <c r="I329" s="11" t="n"/>
      <c r="J329" s="9">
        <f>IF(OR(F329="",H329=""),"",IF(F329&gt;H329,E329,IF(H329&gt;F329,G329,"")))</f>
        <v/>
      </c>
      <c r="K329" s="4" t="n"/>
      <c r="L329" s="9">
        <f>IF(COUNTA(A329,C329,D329,E329,F329,G329,H329,I329)=0,"",IF(OR(A329="",C329="",E329="",G329=""),"Missing week/class/team",IF(AND(D329="",I329&lt;&gt;"Y"),"No chapter (forfeit?)",IF(AND(D329&lt;&gt;"",I329="Y"),"Forfeit has a chapter",IF(OR(F329="",H329=""),"Missing score",IF(F329=H329,"Tie score",IF(COUNTIFS($A$2:$A$801,A329,$E$2:$E$801,E329)+COUNTIFS($A$2:$A$801,A329,$G$2:$G$801,E329)&gt;1,"Team 1 listed twice this week",IF(COUNTIFS($A$2:$A$801,A329,$E$2:$E$801,G329)+COUNTIFS($A$2:$A$801,A329,$G$2:$G$801,G329)&gt;1,"Team 2 listed twice this week",""))))))))</f>
        <v/>
      </c>
    </row>
    <row r="330">
      <c r="A330" s="11" t="n"/>
      <c r="B330" s="9">
        <f>IF(A330="","",IFERROR(INDEX(Lists!$G$2:$G$7,MATCH(A330,Lists!$F$2:$F$7,0)),"?"))</f>
        <v/>
      </c>
      <c r="C330" s="4" t="n"/>
      <c r="D330" s="4" t="n"/>
      <c r="E330" s="4" t="n"/>
      <c r="F330" s="11" t="n"/>
      <c r="G330" s="4" t="n"/>
      <c r="H330" s="11" t="n"/>
      <c r="I330" s="11" t="n"/>
      <c r="J330" s="9">
        <f>IF(OR(F330="",H330=""),"",IF(F330&gt;H330,E330,IF(H330&gt;F330,G330,"")))</f>
        <v/>
      </c>
      <c r="K330" s="4" t="n"/>
      <c r="L330" s="9">
        <f>IF(COUNTA(A330,C330,D330,E330,F330,G330,H330,I330)=0,"",IF(OR(A330="",C330="",E330="",G330=""),"Missing week/class/team",IF(AND(D330="",I330&lt;&gt;"Y"),"No chapter (forfeit?)",IF(AND(D330&lt;&gt;"",I330="Y"),"Forfeit has a chapter",IF(OR(F330="",H330=""),"Missing score",IF(F330=H330,"Tie score",IF(COUNTIFS($A$2:$A$801,A330,$E$2:$E$801,E330)+COUNTIFS($A$2:$A$801,A330,$G$2:$G$801,E330)&gt;1,"Team 1 listed twice this week",IF(COUNTIFS($A$2:$A$801,A330,$E$2:$E$801,G330)+COUNTIFS($A$2:$A$801,A330,$G$2:$G$801,G330)&gt;1,"Team 2 listed twice this week",""))))))))</f>
        <v/>
      </c>
    </row>
    <row r="331">
      <c r="A331" s="11" t="n"/>
      <c r="B331" s="9">
        <f>IF(A331="","",IFERROR(INDEX(Lists!$G$2:$G$7,MATCH(A331,Lists!$F$2:$F$7,0)),"?"))</f>
        <v/>
      </c>
      <c r="C331" s="4" t="n"/>
      <c r="D331" s="4" t="n"/>
      <c r="E331" s="4" t="n"/>
      <c r="F331" s="11" t="n"/>
      <c r="G331" s="4" t="n"/>
      <c r="H331" s="11" t="n"/>
      <c r="I331" s="11" t="n"/>
      <c r="J331" s="9">
        <f>IF(OR(F331="",H331=""),"",IF(F331&gt;H331,E331,IF(H331&gt;F331,G331,"")))</f>
        <v/>
      </c>
      <c r="K331" s="4" t="n"/>
      <c r="L331" s="9">
        <f>IF(COUNTA(A331,C331,D331,E331,F331,G331,H331,I331)=0,"",IF(OR(A331="",C331="",E331="",G331=""),"Missing week/class/team",IF(AND(D331="",I331&lt;&gt;"Y"),"No chapter (forfeit?)",IF(AND(D331&lt;&gt;"",I331="Y"),"Forfeit has a chapter",IF(OR(F331="",H331=""),"Missing score",IF(F331=H331,"Tie score",IF(COUNTIFS($A$2:$A$801,A331,$E$2:$E$801,E331)+COUNTIFS($A$2:$A$801,A331,$G$2:$G$801,E331)&gt;1,"Team 1 listed twice this week",IF(COUNTIFS($A$2:$A$801,A331,$E$2:$E$801,G331)+COUNTIFS($A$2:$A$801,A331,$G$2:$G$801,G331)&gt;1,"Team 2 listed twice this week",""))))))))</f>
        <v/>
      </c>
    </row>
    <row r="332">
      <c r="A332" s="11" t="n"/>
      <c r="B332" s="9">
        <f>IF(A332="","",IFERROR(INDEX(Lists!$G$2:$G$7,MATCH(A332,Lists!$F$2:$F$7,0)),"?"))</f>
        <v/>
      </c>
      <c r="C332" s="4" t="n"/>
      <c r="D332" s="4" t="n"/>
      <c r="E332" s="4" t="n"/>
      <c r="F332" s="11" t="n"/>
      <c r="G332" s="4" t="n"/>
      <c r="H332" s="11" t="n"/>
      <c r="I332" s="11" t="n"/>
      <c r="J332" s="9">
        <f>IF(OR(F332="",H332=""),"",IF(F332&gt;H332,E332,IF(H332&gt;F332,G332,"")))</f>
        <v/>
      </c>
      <c r="K332" s="4" t="n"/>
      <c r="L332" s="9">
        <f>IF(COUNTA(A332,C332,D332,E332,F332,G332,H332,I332)=0,"",IF(OR(A332="",C332="",E332="",G332=""),"Missing week/class/team",IF(AND(D332="",I332&lt;&gt;"Y"),"No chapter (forfeit?)",IF(AND(D332&lt;&gt;"",I332="Y"),"Forfeit has a chapter",IF(OR(F332="",H332=""),"Missing score",IF(F332=H332,"Tie score",IF(COUNTIFS($A$2:$A$801,A332,$E$2:$E$801,E332)+COUNTIFS($A$2:$A$801,A332,$G$2:$G$801,E332)&gt;1,"Team 1 listed twice this week",IF(COUNTIFS($A$2:$A$801,A332,$E$2:$E$801,G332)+COUNTIFS($A$2:$A$801,A332,$G$2:$G$801,G332)&gt;1,"Team 2 listed twice this week",""))))))))</f>
        <v/>
      </c>
    </row>
    <row r="333">
      <c r="A333" s="11" t="n"/>
      <c r="B333" s="9">
        <f>IF(A333="","",IFERROR(INDEX(Lists!$G$2:$G$7,MATCH(A333,Lists!$F$2:$F$7,0)),"?"))</f>
        <v/>
      </c>
      <c r="C333" s="4" t="n"/>
      <c r="D333" s="4" t="n"/>
      <c r="E333" s="4" t="n"/>
      <c r="F333" s="11" t="n"/>
      <c r="G333" s="4" t="n"/>
      <c r="H333" s="11" t="n"/>
      <c r="I333" s="11" t="n"/>
      <c r="J333" s="9">
        <f>IF(OR(F333="",H333=""),"",IF(F333&gt;H333,E333,IF(H333&gt;F333,G333,"")))</f>
        <v/>
      </c>
      <c r="K333" s="4" t="n"/>
      <c r="L333" s="9">
        <f>IF(COUNTA(A333,C333,D333,E333,F333,G333,H333,I333)=0,"",IF(OR(A333="",C333="",E333="",G333=""),"Missing week/class/team",IF(AND(D333="",I333&lt;&gt;"Y"),"No chapter (forfeit?)",IF(AND(D333&lt;&gt;"",I333="Y"),"Forfeit has a chapter",IF(OR(F333="",H333=""),"Missing score",IF(F333=H333,"Tie score",IF(COUNTIFS($A$2:$A$801,A333,$E$2:$E$801,E333)+COUNTIFS($A$2:$A$801,A333,$G$2:$G$801,E333)&gt;1,"Team 1 listed twice this week",IF(COUNTIFS($A$2:$A$801,A333,$E$2:$E$801,G333)+COUNTIFS($A$2:$A$801,A333,$G$2:$G$801,G333)&gt;1,"Team 2 listed twice this week",""))))))))</f>
        <v/>
      </c>
    </row>
    <row r="334">
      <c r="A334" s="11" t="n"/>
      <c r="B334" s="9">
        <f>IF(A334="","",IFERROR(INDEX(Lists!$G$2:$G$7,MATCH(A334,Lists!$F$2:$F$7,0)),"?"))</f>
        <v/>
      </c>
      <c r="C334" s="4" t="n"/>
      <c r="D334" s="4" t="n"/>
      <c r="E334" s="4" t="n"/>
      <c r="F334" s="11" t="n"/>
      <c r="G334" s="4" t="n"/>
      <c r="H334" s="11" t="n"/>
      <c r="I334" s="11" t="n"/>
      <c r="J334" s="9">
        <f>IF(OR(F334="",H334=""),"",IF(F334&gt;H334,E334,IF(H334&gt;F334,G334,"")))</f>
        <v/>
      </c>
      <c r="K334" s="4" t="n"/>
      <c r="L334" s="9">
        <f>IF(COUNTA(A334,C334,D334,E334,F334,G334,H334,I334)=0,"",IF(OR(A334="",C334="",E334="",G334=""),"Missing week/class/team",IF(AND(D334="",I334&lt;&gt;"Y"),"No chapter (forfeit?)",IF(AND(D334&lt;&gt;"",I334="Y"),"Forfeit has a chapter",IF(OR(F334="",H334=""),"Missing score",IF(F334=H334,"Tie score",IF(COUNTIFS($A$2:$A$801,A334,$E$2:$E$801,E334)+COUNTIFS($A$2:$A$801,A334,$G$2:$G$801,E334)&gt;1,"Team 1 listed twice this week",IF(COUNTIFS($A$2:$A$801,A334,$E$2:$E$801,G334)+COUNTIFS($A$2:$A$801,A334,$G$2:$G$801,G334)&gt;1,"Team 2 listed twice this week",""))))))))</f>
        <v/>
      </c>
    </row>
    <row r="335">
      <c r="A335" s="11" t="n"/>
      <c r="B335" s="9">
        <f>IF(A335="","",IFERROR(INDEX(Lists!$G$2:$G$7,MATCH(A335,Lists!$F$2:$F$7,0)),"?"))</f>
        <v/>
      </c>
      <c r="C335" s="4" t="n"/>
      <c r="D335" s="4" t="n"/>
      <c r="E335" s="4" t="n"/>
      <c r="F335" s="11" t="n"/>
      <c r="G335" s="4" t="n"/>
      <c r="H335" s="11" t="n"/>
      <c r="I335" s="11" t="n"/>
      <c r="J335" s="9">
        <f>IF(OR(F335="",H335=""),"",IF(F335&gt;H335,E335,IF(H335&gt;F335,G335,"")))</f>
        <v/>
      </c>
      <c r="K335" s="4" t="n"/>
      <c r="L335" s="9">
        <f>IF(COUNTA(A335,C335,D335,E335,F335,G335,H335,I335)=0,"",IF(OR(A335="",C335="",E335="",G335=""),"Missing week/class/team",IF(AND(D335="",I335&lt;&gt;"Y"),"No chapter (forfeit?)",IF(AND(D335&lt;&gt;"",I335="Y"),"Forfeit has a chapter",IF(OR(F335="",H335=""),"Missing score",IF(F335=H335,"Tie score",IF(COUNTIFS($A$2:$A$801,A335,$E$2:$E$801,E335)+COUNTIFS($A$2:$A$801,A335,$G$2:$G$801,E335)&gt;1,"Team 1 listed twice this week",IF(COUNTIFS($A$2:$A$801,A335,$E$2:$E$801,G335)+COUNTIFS($A$2:$A$801,A335,$G$2:$G$801,G335)&gt;1,"Team 2 listed twice this week",""))))))))</f>
        <v/>
      </c>
    </row>
    <row r="336">
      <c r="A336" s="11" t="n"/>
      <c r="B336" s="9">
        <f>IF(A336="","",IFERROR(INDEX(Lists!$G$2:$G$7,MATCH(A336,Lists!$F$2:$F$7,0)),"?"))</f>
        <v/>
      </c>
      <c r="C336" s="4" t="n"/>
      <c r="D336" s="4" t="n"/>
      <c r="E336" s="4" t="n"/>
      <c r="F336" s="11" t="n"/>
      <c r="G336" s="4" t="n"/>
      <c r="H336" s="11" t="n"/>
      <c r="I336" s="11" t="n"/>
      <c r="J336" s="9">
        <f>IF(OR(F336="",H336=""),"",IF(F336&gt;H336,E336,IF(H336&gt;F336,G336,"")))</f>
        <v/>
      </c>
      <c r="K336" s="4" t="n"/>
      <c r="L336" s="9">
        <f>IF(COUNTA(A336,C336,D336,E336,F336,G336,H336,I336)=0,"",IF(OR(A336="",C336="",E336="",G336=""),"Missing week/class/team",IF(AND(D336="",I336&lt;&gt;"Y"),"No chapter (forfeit?)",IF(AND(D336&lt;&gt;"",I336="Y"),"Forfeit has a chapter",IF(OR(F336="",H336=""),"Missing score",IF(F336=H336,"Tie score",IF(COUNTIFS($A$2:$A$801,A336,$E$2:$E$801,E336)+COUNTIFS($A$2:$A$801,A336,$G$2:$G$801,E336)&gt;1,"Team 1 listed twice this week",IF(COUNTIFS($A$2:$A$801,A336,$E$2:$E$801,G336)+COUNTIFS($A$2:$A$801,A336,$G$2:$G$801,G336)&gt;1,"Team 2 listed twice this week",""))))))))</f>
        <v/>
      </c>
    </row>
    <row r="337">
      <c r="A337" s="11" t="n"/>
      <c r="B337" s="9">
        <f>IF(A337="","",IFERROR(INDEX(Lists!$G$2:$G$7,MATCH(A337,Lists!$F$2:$F$7,0)),"?"))</f>
        <v/>
      </c>
      <c r="C337" s="4" t="n"/>
      <c r="D337" s="4" t="n"/>
      <c r="E337" s="4" t="n"/>
      <c r="F337" s="11" t="n"/>
      <c r="G337" s="4" t="n"/>
      <c r="H337" s="11" t="n"/>
      <c r="I337" s="11" t="n"/>
      <c r="J337" s="9">
        <f>IF(OR(F337="",H337=""),"",IF(F337&gt;H337,E337,IF(H337&gt;F337,G337,"")))</f>
        <v/>
      </c>
      <c r="K337" s="4" t="n"/>
      <c r="L337" s="9">
        <f>IF(COUNTA(A337,C337,D337,E337,F337,G337,H337,I337)=0,"",IF(OR(A337="",C337="",E337="",G337=""),"Missing week/class/team",IF(AND(D337="",I337&lt;&gt;"Y"),"No chapter (forfeit?)",IF(AND(D337&lt;&gt;"",I337="Y"),"Forfeit has a chapter",IF(OR(F337="",H337=""),"Missing score",IF(F337=H337,"Tie score",IF(COUNTIFS($A$2:$A$801,A337,$E$2:$E$801,E337)+COUNTIFS($A$2:$A$801,A337,$G$2:$G$801,E337)&gt;1,"Team 1 listed twice this week",IF(COUNTIFS($A$2:$A$801,A337,$E$2:$E$801,G337)+COUNTIFS($A$2:$A$801,A337,$G$2:$G$801,G337)&gt;1,"Team 2 listed twice this week",""))))))))</f>
        <v/>
      </c>
    </row>
    <row r="338">
      <c r="A338" s="11" t="n"/>
      <c r="B338" s="9">
        <f>IF(A338="","",IFERROR(INDEX(Lists!$G$2:$G$7,MATCH(A338,Lists!$F$2:$F$7,0)),"?"))</f>
        <v/>
      </c>
      <c r="C338" s="4" t="n"/>
      <c r="D338" s="4" t="n"/>
      <c r="E338" s="4" t="n"/>
      <c r="F338" s="11" t="n"/>
      <c r="G338" s="4" t="n"/>
      <c r="H338" s="11" t="n"/>
      <c r="I338" s="11" t="n"/>
      <c r="J338" s="9">
        <f>IF(OR(F338="",H338=""),"",IF(F338&gt;H338,E338,IF(H338&gt;F338,G338,"")))</f>
        <v/>
      </c>
      <c r="K338" s="4" t="n"/>
      <c r="L338" s="9">
        <f>IF(COUNTA(A338,C338,D338,E338,F338,G338,H338,I338)=0,"",IF(OR(A338="",C338="",E338="",G338=""),"Missing week/class/team",IF(AND(D338="",I338&lt;&gt;"Y"),"No chapter (forfeit?)",IF(AND(D338&lt;&gt;"",I338="Y"),"Forfeit has a chapter",IF(OR(F338="",H338=""),"Missing score",IF(F338=H338,"Tie score",IF(COUNTIFS($A$2:$A$801,A338,$E$2:$E$801,E338)+COUNTIFS($A$2:$A$801,A338,$G$2:$G$801,E338)&gt;1,"Team 1 listed twice this week",IF(COUNTIFS($A$2:$A$801,A338,$E$2:$E$801,G338)+COUNTIFS($A$2:$A$801,A338,$G$2:$G$801,G338)&gt;1,"Team 2 listed twice this week",""))))))))</f>
        <v/>
      </c>
    </row>
    <row r="339">
      <c r="A339" s="11" t="n"/>
      <c r="B339" s="9">
        <f>IF(A339="","",IFERROR(INDEX(Lists!$G$2:$G$7,MATCH(A339,Lists!$F$2:$F$7,0)),"?"))</f>
        <v/>
      </c>
      <c r="C339" s="4" t="n"/>
      <c r="D339" s="4" t="n"/>
      <c r="E339" s="4" t="n"/>
      <c r="F339" s="11" t="n"/>
      <c r="G339" s="4" t="n"/>
      <c r="H339" s="11" t="n"/>
      <c r="I339" s="11" t="n"/>
      <c r="J339" s="9">
        <f>IF(OR(F339="",H339=""),"",IF(F339&gt;H339,E339,IF(H339&gt;F339,G339,"")))</f>
        <v/>
      </c>
      <c r="K339" s="4" t="n"/>
      <c r="L339" s="9">
        <f>IF(COUNTA(A339,C339,D339,E339,F339,G339,H339,I339)=0,"",IF(OR(A339="",C339="",E339="",G339=""),"Missing week/class/team",IF(AND(D339="",I339&lt;&gt;"Y"),"No chapter (forfeit?)",IF(AND(D339&lt;&gt;"",I339="Y"),"Forfeit has a chapter",IF(OR(F339="",H339=""),"Missing score",IF(F339=H339,"Tie score",IF(COUNTIFS($A$2:$A$801,A339,$E$2:$E$801,E339)+COUNTIFS($A$2:$A$801,A339,$G$2:$G$801,E339)&gt;1,"Team 1 listed twice this week",IF(COUNTIFS($A$2:$A$801,A339,$E$2:$E$801,G339)+COUNTIFS($A$2:$A$801,A339,$G$2:$G$801,G339)&gt;1,"Team 2 listed twice this week",""))))))))</f>
        <v/>
      </c>
    </row>
    <row r="340">
      <c r="A340" s="11" t="n"/>
      <c r="B340" s="9">
        <f>IF(A340="","",IFERROR(INDEX(Lists!$G$2:$G$7,MATCH(A340,Lists!$F$2:$F$7,0)),"?"))</f>
        <v/>
      </c>
      <c r="C340" s="4" t="n"/>
      <c r="D340" s="4" t="n"/>
      <c r="E340" s="4" t="n"/>
      <c r="F340" s="11" t="n"/>
      <c r="G340" s="4" t="n"/>
      <c r="H340" s="11" t="n"/>
      <c r="I340" s="11" t="n"/>
      <c r="J340" s="9">
        <f>IF(OR(F340="",H340=""),"",IF(F340&gt;H340,E340,IF(H340&gt;F340,G340,"")))</f>
        <v/>
      </c>
      <c r="K340" s="4" t="n"/>
      <c r="L340" s="9">
        <f>IF(COUNTA(A340,C340,D340,E340,F340,G340,H340,I340)=0,"",IF(OR(A340="",C340="",E340="",G340=""),"Missing week/class/team",IF(AND(D340="",I340&lt;&gt;"Y"),"No chapter (forfeit?)",IF(AND(D340&lt;&gt;"",I340="Y"),"Forfeit has a chapter",IF(OR(F340="",H340=""),"Missing score",IF(F340=H340,"Tie score",IF(COUNTIFS($A$2:$A$801,A340,$E$2:$E$801,E340)+COUNTIFS($A$2:$A$801,A340,$G$2:$G$801,E340)&gt;1,"Team 1 listed twice this week",IF(COUNTIFS($A$2:$A$801,A340,$E$2:$E$801,G340)+COUNTIFS($A$2:$A$801,A340,$G$2:$G$801,G340)&gt;1,"Team 2 listed twice this week",""))))))))</f>
        <v/>
      </c>
    </row>
    <row r="341">
      <c r="A341" s="11" t="n"/>
      <c r="B341" s="9">
        <f>IF(A341="","",IFERROR(INDEX(Lists!$G$2:$G$7,MATCH(A341,Lists!$F$2:$F$7,0)),"?"))</f>
        <v/>
      </c>
      <c r="C341" s="4" t="n"/>
      <c r="D341" s="4" t="n"/>
      <c r="E341" s="4" t="n"/>
      <c r="F341" s="11" t="n"/>
      <c r="G341" s="4" t="n"/>
      <c r="H341" s="11" t="n"/>
      <c r="I341" s="11" t="n"/>
      <c r="J341" s="9">
        <f>IF(OR(F341="",H341=""),"",IF(F341&gt;H341,E341,IF(H341&gt;F341,G341,"")))</f>
        <v/>
      </c>
      <c r="K341" s="4" t="n"/>
      <c r="L341" s="9">
        <f>IF(COUNTA(A341,C341,D341,E341,F341,G341,H341,I341)=0,"",IF(OR(A341="",C341="",E341="",G341=""),"Missing week/class/team",IF(AND(D341="",I341&lt;&gt;"Y"),"No chapter (forfeit?)",IF(AND(D341&lt;&gt;"",I341="Y"),"Forfeit has a chapter",IF(OR(F341="",H341=""),"Missing score",IF(F341=H341,"Tie score",IF(COUNTIFS($A$2:$A$801,A341,$E$2:$E$801,E341)+COUNTIFS($A$2:$A$801,A341,$G$2:$G$801,E341)&gt;1,"Team 1 listed twice this week",IF(COUNTIFS($A$2:$A$801,A341,$E$2:$E$801,G341)+COUNTIFS($A$2:$A$801,A341,$G$2:$G$801,G341)&gt;1,"Team 2 listed twice this week",""))))))))</f>
        <v/>
      </c>
    </row>
    <row r="342">
      <c r="A342" s="11" t="n"/>
      <c r="B342" s="9">
        <f>IF(A342="","",IFERROR(INDEX(Lists!$G$2:$G$7,MATCH(A342,Lists!$F$2:$F$7,0)),"?"))</f>
        <v/>
      </c>
      <c r="C342" s="4" t="n"/>
      <c r="D342" s="4" t="n"/>
      <c r="E342" s="4" t="n"/>
      <c r="F342" s="11" t="n"/>
      <c r="G342" s="4" t="n"/>
      <c r="H342" s="11" t="n"/>
      <c r="I342" s="11" t="n"/>
      <c r="J342" s="9">
        <f>IF(OR(F342="",H342=""),"",IF(F342&gt;H342,E342,IF(H342&gt;F342,G342,"")))</f>
        <v/>
      </c>
      <c r="K342" s="4" t="n"/>
      <c r="L342" s="9">
        <f>IF(COUNTA(A342,C342,D342,E342,F342,G342,H342,I342)=0,"",IF(OR(A342="",C342="",E342="",G342=""),"Missing week/class/team",IF(AND(D342="",I342&lt;&gt;"Y"),"No chapter (forfeit?)",IF(AND(D342&lt;&gt;"",I342="Y"),"Forfeit has a chapter",IF(OR(F342="",H342=""),"Missing score",IF(F342=H342,"Tie score",IF(COUNTIFS($A$2:$A$801,A342,$E$2:$E$801,E342)+COUNTIFS($A$2:$A$801,A342,$G$2:$G$801,E342)&gt;1,"Team 1 listed twice this week",IF(COUNTIFS($A$2:$A$801,A342,$E$2:$E$801,G342)+COUNTIFS($A$2:$A$801,A342,$G$2:$G$801,G342)&gt;1,"Team 2 listed twice this week",""))))))))</f>
        <v/>
      </c>
    </row>
    <row r="343">
      <c r="A343" s="11" t="n"/>
      <c r="B343" s="9">
        <f>IF(A343="","",IFERROR(INDEX(Lists!$G$2:$G$7,MATCH(A343,Lists!$F$2:$F$7,0)),"?"))</f>
        <v/>
      </c>
      <c r="C343" s="4" t="n"/>
      <c r="D343" s="4" t="n"/>
      <c r="E343" s="4" t="n"/>
      <c r="F343" s="11" t="n"/>
      <c r="G343" s="4" t="n"/>
      <c r="H343" s="11" t="n"/>
      <c r="I343" s="11" t="n"/>
      <c r="J343" s="9">
        <f>IF(OR(F343="",H343=""),"",IF(F343&gt;H343,E343,IF(H343&gt;F343,G343,"")))</f>
        <v/>
      </c>
      <c r="K343" s="4" t="n"/>
      <c r="L343" s="9">
        <f>IF(COUNTA(A343,C343,D343,E343,F343,G343,H343,I343)=0,"",IF(OR(A343="",C343="",E343="",G343=""),"Missing week/class/team",IF(AND(D343="",I343&lt;&gt;"Y"),"No chapter (forfeit?)",IF(AND(D343&lt;&gt;"",I343="Y"),"Forfeit has a chapter",IF(OR(F343="",H343=""),"Missing score",IF(F343=H343,"Tie score",IF(COUNTIFS($A$2:$A$801,A343,$E$2:$E$801,E343)+COUNTIFS($A$2:$A$801,A343,$G$2:$G$801,E343)&gt;1,"Team 1 listed twice this week",IF(COUNTIFS($A$2:$A$801,A343,$E$2:$E$801,G343)+COUNTIFS($A$2:$A$801,A343,$G$2:$G$801,G343)&gt;1,"Team 2 listed twice this week",""))))))))</f>
        <v/>
      </c>
    </row>
    <row r="344">
      <c r="A344" s="11" t="n"/>
      <c r="B344" s="9">
        <f>IF(A344="","",IFERROR(INDEX(Lists!$G$2:$G$7,MATCH(A344,Lists!$F$2:$F$7,0)),"?"))</f>
        <v/>
      </c>
      <c r="C344" s="4" t="n"/>
      <c r="D344" s="4" t="n"/>
      <c r="E344" s="4" t="n"/>
      <c r="F344" s="11" t="n"/>
      <c r="G344" s="4" t="n"/>
      <c r="H344" s="11" t="n"/>
      <c r="I344" s="11" t="n"/>
      <c r="J344" s="9">
        <f>IF(OR(F344="",H344=""),"",IF(F344&gt;H344,E344,IF(H344&gt;F344,G344,"")))</f>
        <v/>
      </c>
      <c r="K344" s="4" t="n"/>
      <c r="L344" s="9">
        <f>IF(COUNTA(A344,C344,D344,E344,F344,G344,H344,I344)=0,"",IF(OR(A344="",C344="",E344="",G344=""),"Missing week/class/team",IF(AND(D344="",I344&lt;&gt;"Y"),"No chapter (forfeit?)",IF(AND(D344&lt;&gt;"",I344="Y"),"Forfeit has a chapter",IF(OR(F344="",H344=""),"Missing score",IF(F344=H344,"Tie score",IF(COUNTIFS($A$2:$A$801,A344,$E$2:$E$801,E344)+COUNTIFS($A$2:$A$801,A344,$G$2:$G$801,E344)&gt;1,"Team 1 listed twice this week",IF(COUNTIFS($A$2:$A$801,A344,$E$2:$E$801,G344)+COUNTIFS($A$2:$A$801,A344,$G$2:$G$801,G344)&gt;1,"Team 2 listed twice this week",""))))))))</f>
        <v/>
      </c>
    </row>
    <row r="345">
      <c r="A345" s="11" t="n"/>
      <c r="B345" s="9">
        <f>IF(A345="","",IFERROR(INDEX(Lists!$G$2:$G$7,MATCH(A345,Lists!$F$2:$F$7,0)),"?"))</f>
        <v/>
      </c>
      <c r="C345" s="4" t="n"/>
      <c r="D345" s="4" t="n"/>
      <c r="E345" s="4" t="n"/>
      <c r="F345" s="11" t="n"/>
      <c r="G345" s="4" t="n"/>
      <c r="H345" s="11" t="n"/>
      <c r="I345" s="11" t="n"/>
      <c r="J345" s="9">
        <f>IF(OR(F345="",H345=""),"",IF(F345&gt;H345,E345,IF(H345&gt;F345,G345,"")))</f>
        <v/>
      </c>
      <c r="K345" s="4" t="n"/>
      <c r="L345" s="9">
        <f>IF(COUNTA(A345,C345,D345,E345,F345,G345,H345,I345)=0,"",IF(OR(A345="",C345="",E345="",G345=""),"Missing week/class/team",IF(AND(D345="",I345&lt;&gt;"Y"),"No chapter (forfeit?)",IF(AND(D345&lt;&gt;"",I345="Y"),"Forfeit has a chapter",IF(OR(F345="",H345=""),"Missing score",IF(F345=H345,"Tie score",IF(COUNTIFS($A$2:$A$801,A345,$E$2:$E$801,E345)+COUNTIFS($A$2:$A$801,A345,$G$2:$G$801,E345)&gt;1,"Team 1 listed twice this week",IF(COUNTIFS($A$2:$A$801,A345,$E$2:$E$801,G345)+COUNTIFS($A$2:$A$801,A345,$G$2:$G$801,G345)&gt;1,"Team 2 listed twice this week",""))))))))</f>
        <v/>
      </c>
    </row>
    <row r="346">
      <c r="A346" s="11" t="n"/>
      <c r="B346" s="9">
        <f>IF(A346="","",IFERROR(INDEX(Lists!$G$2:$G$7,MATCH(A346,Lists!$F$2:$F$7,0)),"?"))</f>
        <v/>
      </c>
      <c r="C346" s="4" t="n"/>
      <c r="D346" s="4" t="n"/>
      <c r="E346" s="4" t="n"/>
      <c r="F346" s="11" t="n"/>
      <c r="G346" s="4" t="n"/>
      <c r="H346" s="11" t="n"/>
      <c r="I346" s="11" t="n"/>
      <c r="J346" s="9">
        <f>IF(OR(F346="",H346=""),"",IF(F346&gt;H346,E346,IF(H346&gt;F346,G346,"")))</f>
        <v/>
      </c>
      <c r="K346" s="4" t="n"/>
      <c r="L346" s="9">
        <f>IF(COUNTA(A346,C346,D346,E346,F346,G346,H346,I346)=0,"",IF(OR(A346="",C346="",E346="",G346=""),"Missing week/class/team",IF(AND(D346="",I346&lt;&gt;"Y"),"No chapter (forfeit?)",IF(AND(D346&lt;&gt;"",I346="Y"),"Forfeit has a chapter",IF(OR(F346="",H346=""),"Missing score",IF(F346=H346,"Tie score",IF(COUNTIFS($A$2:$A$801,A346,$E$2:$E$801,E346)+COUNTIFS($A$2:$A$801,A346,$G$2:$G$801,E346)&gt;1,"Team 1 listed twice this week",IF(COUNTIFS($A$2:$A$801,A346,$E$2:$E$801,G346)+COUNTIFS($A$2:$A$801,A346,$G$2:$G$801,G346)&gt;1,"Team 2 listed twice this week",""))))))))</f>
        <v/>
      </c>
    </row>
    <row r="347">
      <c r="A347" s="11" t="n"/>
      <c r="B347" s="9">
        <f>IF(A347="","",IFERROR(INDEX(Lists!$G$2:$G$7,MATCH(A347,Lists!$F$2:$F$7,0)),"?"))</f>
        <v/>
      </c>
      <c r="C347" s="4" t="n"/>
      <c r="D347" s="4" t="n"/>
      <c r="E347" s="4" t="n"/>
      <c r="F347" s="11" t="n"/>
      <c r="G347" s="4" t="n"/>
      <c r="H347" s="11" t="n"/>
      <c r="I347" s="11" t="n"/>
      <c r="J347" s="9">
        <f>IF(OR(F347="",H347=""),"",IF(F347&gt;H347,E347,IF(H347&gt;F347,G347,"")))</f>
        <v/>
      </c>
      <c r="K347" s="4" t="n"/>
      <c r="L347" s="9">
        <f>IF(COUNTA(A347,C347,D347,E347,F347,G347,H347,I347)=0,"",IF(OR(A347="",C347="",E347="",G347=""),"Missing week/class/team",IF(AND(D347="",I347&lt;&gt;"Y"),"No chapter (forfeit?)",IF(AND(D347&lt;&gt;"",I347="Y"),"Forfeit has a chapter",IF(OR(F347="",H347=""),"Missing score",IF(F347=H347,"Tie score",IF(COUNTIFS($A$2:$A$801,A347,$E$2:$E$801,E347)+COUNTIFS($A$2:$A$801,A347,$G$2:$G$801,E347)&gt;1,"Team 1 listed twice this week",IF(COUNTIFS($A$2:$A$801,A347,$E$2:$E$801,G347)+COUNTIFS($A$2:$A$801,A347,$G$2:$G$801,G347)&gt;1,"Team 2 listed twice this week",""))))))))</f>
        <v/>
      </c>
    </row>
    <row r="348">
      <c r="A348" s="11" t="n"/>
      <c r="B348" s="9">
        <f>IF(A348="","",IFERROR(INDEX(Lists!$G$2:$G$7,MATCH(A348,Lists!$F$2:$F$7,0)),"?"))</f>
        <v/>
      </c>
      <c r="C348" s="4" t="n"/>
      <c r="D348" s="4" t="n"/>
      <c r="E348" s="4" t="n"/>
      <c r="F348" s="11" t="n"/>
      <c r="G348" s="4" t="n"/>
      <c r="H348" s="11" t="n"/>
      <c r="I348" s="11" t="n"/>
      <c r="J348" s="9">
        <f>IF(OR(F348="",H348=""),"",IF(F348&gt;H348,E348,IF(H348&gt;F348,G348,"")))</f>
        <v/>
      </c>
      <c r="K348" s="4" t="n"/>
      <c r="L348" s="9">
        <f>IF(COUNTA(A348,C348,D348,E348,F348,G348,H348,I348)=0,"",IF(OR(A348="",C348="",E348="",G348=""),"Missing week/class/team",IF(AND(D348="",I348&lt;&gt;"Y"),"No chapter (forfeit?)",IF(AND(D348&lt;&gt;"",I348="Y"),"Forfeit has a chapter",IF(OR(F348="",H348=""),"Missing score",IF(F348=H348,"Tie score",IF(COUNTIFS($A$2:$A$801,A348,$E$2:$E$801,E348)+COUNTIFS($A$2:$A$801,A348,$G$2:$G$801,E348)&gt;1,"Team 1 listed twice this week",IF(COUNTIFS($A$2:$A$801,A348,$E$2:$E$801,G348)+COUNTIFS($A$2:$A$801,A348,$G$2:$G$801,G348)&gt;1,"Team 2 listed twice this week",""))))))))</f>
        <v/>
      </c>
    </row>
    <row r="349">
      <c r="A349" s="11" t="n"/>
      <c r="B349" s="9">
        <f>IF(A349="","",IFERROR(INDEX(Lists!$G$2:$G$7,MATCH(A349,Lists!$F$2:$F$7,0)),"?"))</f>
        <v/>
      </c>
      <c r="C349" s="4" t="n"/>
      <c r="D349" s="4" t="n"/>
      <c r="E349" s="4" t="n"/>
      <c r="F349" s="11" t="n"/>
      <c r="G349" s="4" t="n"/>
      <c r="H349" s="11" t="n"/>
      <c r="I349" s="11" t="n"/>
      <c r="J349" s="9">
        <f>IF(OR(F349="",H349=""),"",IF(F349&gt;H349,E349,IF(H349&gt;F349,G349,"")))</f>
        <v/>
      </c>
      <c r="K349" s="4" t="n"/>
      <c r="L349" s="9">
        <f>IF(COUNTA(A349,C349,D349,E349,F349,G349,H349,I349)=0,"",IF(OR(A349="",C349="",E349="",G349=""),"Missing week/class/team",IF(AND(D349="",I349&lt;&gt;"Y"),"No chapter (forfeit?)",IF(AND(D349&lt;&gt;"",I349="Y"),"Forfeit has a chapter",IF(OR(F349="",H349=""),"Missing score",IF(F349=H349,"Tie score",IF(COUNTIFS($A$2:$A$801,A349,$E$2:$E$801,E349)+COUNTIFS($A$2:$A$801,A349,$G$2:$G$801,E349)&gt;1,"Team 1 listed twice this week",IF(COUNTIFS($A$2:$A$801,A349,$E$2:$E$801,G349)+COUNTIFS($A$2:$A$801,A349,$G$2:$G$801,G349)&gt;1,"Team 2 listed twice this week",""))))))))</f>
        <v/>
      </c>
    </row>
    <row r="350">
      <c r="A350" s="11" t="n"/>
      <c r="B350" s="9">
        <f>IF(A350="","",IFERROR(INDEX(Lists!$G$2:$G$7,MATCH(A350,Lists!$F$2:$F$7,0)),"?"))</f>
        <v/>
      </c>
      <c r="C350" s="4" t="n"/>
      <c r="D350" s="4" t="n"/>
      <c r="E350" s="4" t="n"/>
      <c r="F350" s="11" t="n"/>
      <c r="G350" s="4" t="n"/>
      <c r="H350" s="11" t="n"/>
      <c r="I350" s="11" t="n"/>
      <c r="J350" s="9">
        <f>IF(OR(F350="",H350=""),"",IF(F350&gt;H350,E350,IF(H350&gt;F350,G350,"")))</f>
        <v/>
      </c>
      <c r="K350" s="4" t="n"/>
      <c r="L350" s="9">
        <f>IF(COUNTA(A350,C350,D350,E350,F350,G350,H350,I350)=0,"",IF(OR(A350="",C350="",E350="",G350=""),"Missing week/class/team",IF(AND(D350="",I350&lt;&gt;"Y"),"No chapter (forfeit?)",IF(AND(D350&lt;&gt;"",I350="Y"),"Forfeit has a chapter",IF(OR(F350="",H350=""),"Missing score",IF(F350=H350,"Tie score",IF(COUNTIFS($A$2:$A$801,A350,$E$2:$E$801,E350)+COUNTIFS($A$2:$A$801,A350,$G$2:$G$801,E350)&gt;1,"Team 1 listed twice this week",IF(COUNTIFS($A$2:$A$801,A350,$E$2:$E$801,G350)+COUNTIFS($A$2:$A$801,A350,$G$2:$G$801,G350)&gt;1,"Team 2 listed twice this week",""))))))))</f>
        <v/>
      </c>
    </row>
    <row r="351">
      <c r="A351" s="11" t="n"/>
      <c r="B351" s="9">
        <f>IF(A351="","",IFERROR(INDEX(Lists!$G$2:$G$7,MATCH(A351,Lists!$F$2:$F$7,0)),"?"))</f>
        <v/>
      </c>
      <c r="C351" s="4" t="n"/>
      <c r="D351" s="4" t="n"/>
      <c r="E351" s="4" t="n"/>
      <c r="F351" s="11" t="n"/>
      <c r="G351" s="4" t="n"/>
      <c r="H351" s="11" t="n"/>
      <c r="I351" s="11" t="n"/>
      <c r="J351" s="9">
        <f>IF(OR(F351="",H351=""),"",IF(F351&gt;H351,E351,IF(H351&gt;F351,G351,"")))</f>
        <v/>
      </c>
      <c r="K351" s="4" t="n"/>
      <c r="L351" s="9">
        <f>IF(COUNTA(A351,C351,D351,E351,F351,G351,H351,I351)=0,"",IF(OR(A351="",C351="",E351="",G351=""),"Missing week/class/team",IF(AND(D351="",I351&lt;&gt;"Y"),"No chapter (forfeit?)",IF(AND(D351&lt;&gt;"",I351="Y"),"Forfeit has a chapter",IF(OR(F351="",H351=""),"Missing score",IF(F351=H351,"Tie score",IF(COUNTIFS($A$2:$A$801,A351,$E$2:$E$801,E351)+COUNTIFS($A$2:$A$801,A351,$G$2:$G$801,E351)&gt;1,"Team 1 listed twice this week",IF(COUNTIFS($A$2:$A$801,A351,$E$2:$E$801,G351)+COUNTIFS($A$2:$A$801,A351,$G$2:$G$801,G351)&gt;1,"Team 2 listed twice this week",""))))))))</f>
        <v/>
      </c>
    </row>
    <row r="352">
      <c r="A352" s="11" t="n"/>
      <c r="B352" s="9">
        <f>IF(A352="","",IFERROR(INDEX(Lists!$G$2:$G$7,MATCH(A352,Lists!$F$2:$F$7,0)),"?"))</f>
        <v/>
      </c>
      <c r="C352" s="4" t="n"/>
      <c r="D352" s="4" t="n"/>
      <c r="E352" s="4" t="n"/>
      <c r="F352" s="11" t="n"/>
      <c r="G352" s="4" t="n"/>
      <c r="H352" s="11" t="n"/>
      <c r="I352" s="11" t="n"/>
      <c r="J352" s="9">
        <f>IF(OR(F352="",H352=""),"",IF(F352&gt;H352,E352,IF(H352&gt;F352,G352,"")))</f>
        <v/>
      </c>
      <c r="K352" s="4" t="n"/>
      <c r="L352" s="9">
        <f>IF(COUNTA(A352,C352,D352,E352,F352,G352,H352,I352)=0,"",IF(OR(A352="",C352="",E352="",G352=""),"Missing week/class/team",IF(AND(D352="",I352&lt;&gt;"Y"),"No chapter (forfeit?)",IF(AND(D352&lt;&gt;"",I352="Y"),"Forfeit has a chapter",IF(OR(F352="",H352=""),"Missing score",IF(F352=H352,"Tie score",IF(COUNTIFS($A$2:$A$801,A352,$E$2:$E$801,E352)+COUNTIFS($A$2:$A$801,A352,$G$2:$G$801,E352)&gt;1,"Team 1 listed twice this week",IF(COUNTIFS($A$2:$A$801,A352,$E$2:$E$801,G352)+COUNTIFS($A$2:$A$801,A352,$G$2:$G$801,G352)&gt;1,"Team 2 listed twice this week",""))))))))</f>
        <v/>
      </c>
    </row>
    <row r="353">
      <c r="A353" s="11" t="n"/>
      <c r="B353" s="9">
        <f>IF(A353="","",IFERROR(INDEX(Lists!$G$2:$G$7,MATCH(A353,Lists!$F$2:$F$7,0)),"?"))</f>
        <v/>
      </c>
      <c r="C353" s="4" t="n"/>
      <c r="D353" s="4" t="n"/>
      <c r="E353" s="4" t="n"/>
      <c r="F353" s="11" t="n"/>
      <c r="G353" s="4" t="n"/>
      <c r="H353" s="11" t="n"/>
      <c r="I353" s="11" t="n"/>
      <c r="J353" s="9">
        <f>IF(OR(F353="",H353=""),"",IF(F353&gt;H353,E353,IF(H353&gt;F353,G353,"")))</f>
        <v/>
      </c>
      <c r="K353" s="4" t="n"/>
      <c r="L353" s="9">
        <f>IF(COUNTA(A353,C353,D353,E353,F353,G353,H353,I353)=0,"",IF(OR(A353="",C353="",E353="",G353=""),"Missing week/class/team",IF(AND(D353="",I353&lt;&gt;"Y"),"No chapter (forfeit?)",IF(AND(D353&lt;&gt;"",I353="Y"),"Forfeit has a chapter",IF(OR(F353="",H353=""),"Missing score",IF(F353=H353,"Tie score",IF(COUNTIFS($A$2:$A$801,A353,$E$2:$E$801,E353)+COUNTIFS($A$2:$A$801,A353,$G$2:$G$801,E353)&gt;1,"Team 1 listed twice this week",IF(COUNTIFS($A$2:$A$801,A353,$E$2:$E$801,G353)+COUNTIFS($A$2:$A$801,A353,$G$2:$G$801,G353)&gt;1,"Team 2 listed twice this week",""))))))))</f>
        <v/>
      </c>
    </row>
    <row r="354">
      <c r="A354" s="11" t="n"/>
      <c r="B354" s="9">
        <f>IF(A354="","",IFERROR(INDEX(Lists!$G$2:$G$7,MATCH(A354,Lists!$F$2:$F$7,0)),"?"))</f>
        <v/>
      </c>
      <c r="C354" s="4" t="n"/>
      <c r="D354" s="4" t="n"/>
      <c r="E354" s="4" t="n"/>
      <c r="F354" s="11" t="n"/>
      <c r="G354" s="4" t="n"/>
      <c r="H354" s="11" t="n"/>
      <c r="I354" s="11" t="n"/>
      <c r="J354" s="9">
        <f>IF(OR(F354="",H354=""),"",IF(F354&gt;H354,E354,IF(H354&gt;F354,G354,"")))</f>
        <v/>
      </c>
      <c r="K354" s="4" t="n"/>
      <c r="L354" s="9">
        <f>IF(COUNTA(A354,C354,D354,E354,F354,G354,H354,I354)=0,"",IF(OR(A354="",C354="",E354="",G354=""),"Missing week/class/team",IF(AND(D354="",I354&lt;&gt;"Y"),"No chapter (forfeit?)",IF(AND(D354&lt;&gt;"",I354="Y"),"Forfeit has a chapter",IF(OR(F354="",H354=""),"Missing score",IF(F354=H354,"Tie score",IF(COUNTIFS($A$2:$A$801,A354,$E$2:$E$801,E354)+COUNTIFS($A$2:$A$801,A354,$G$2:$G$801,E354)&gt;1,"Team 1 listed twice this week",IF(COUNTIFS($A$2:$A$801,A354,$E$2:$E$801,G354)+COUNTIFS($A$2:$A$801,A354,$G$2:$G$801,G354)&gt;1,"Team 2 listed twice this week",""))))))))</f>
        <v/>
      </c>
    </row>
    <row r="355">
      <c r="A355" s="11" t="n"/>
      <c r="B355" s="9">
        <f>IF(A355="","",IFERROR(INDEX(Lists!$G$2:$G$7,MATCH(A355,Lists!$F$2:$F$7,0)),"?"))</f>
        <v/>
      </c>
      <c r="C355" s="4" t="n"/>
      <c r="D355" s="4" t="n"/>
      <c r="E355" s="4" t="n"/>
      <c r="F355" s="11" t="n"/>
      <c r="G355" s="4" t="n"/>
      <c r="H355" s="11" t="n"/>
      <c r="I355" s="11" t="n"/>
      <c r="J355" s="9">
        <f>IF(OR(F355="",H355=""),"",IF(F355&gt;H355,E355,IF(H355&gt;F355,G355,"")))</f>
        <v/>
      </c>
      <c r="K355" s="4" t="n"/>
      <c r="L355" s="9">
        <f>IF(COUNTA(A355,C355,D355,E355,F355,G355,H355,I355)=0,"",IF(OR(A355="",C355="",E355="",G355=""),"Missing week/class/team",IF(AND(D355="",I355&lt;&gt;"Y"),"No chapter (forfeit?)",IF(AND(D355&lt;&gt;"",I355="Y"),"Forfeit has a chapter",IF(OR(F355="",H355=""),"Missing score",IF(F355=H355,"Tie score",IF(COUNTIFS($A$2:$A$801,A355,$E$2:$E$801,E355)+COUNTIFS($A$2:$A$801,A355,$G$2:$G$801,E355)&gt;1,"Team 1 listed twice this week",IF(COUNTIFS($A$2:$A$801,A355,$E$2:$E$801,G355)+COUNTIFS($A$2:$A$801,A355,$G$2:$G$801,G355)&gt;1,"Team 2 listed twice this week",""))))))))</f>
        <v/>
      </c>
    </row>
    <row r="356">
      <c r="A356" s="11" t="n"/>
      <c r="B356" s="9">
        <f>IF(A356="","",IFERROR(INDEX(Lists!$G$2:$G$7,MATCH(A356,Lists!$F$2:$F$7,0)),"?"))</f>
        <v/>
      </c>
      <c r="C356" s="4" t="n"/>
      <c r="D356" s="4" t="n"/>
      <c r="E356" s="4" t="n"/>
      <c r="F356" s="11" t="n"/>
      <c r="G356" s="4" t="n"/>
      <c r="H356" s="11" t="n"/>
      <c r="I356" s="11" t="n"/>
      <c r="J356" s="9">
        <f>IF(OR(F356="",H356=""),"",IF(F356&gt;H356,E356,IF(H356&gt;F356,G356,"")))</f>
        <v/>
      </c>
      <c r="K356" s="4" t="n"/>
      <c r="L356" s="9">
        <f>IF(COUNTA(A356,C356,D356,E356,F356,G356,H356,I356)=0,"",IF(OR(A356="",C356="",E356="",G356=""),"Missing week/class/team",IF(AND(D356="",I356&lt;&gt;"Y"),"No chapter (forfeit?)",IF(AND(D356&lt;&gt;"",I356="Y"),"Forfeit has a chapter",IF(OR(F356="",H356=""),"Missing score",IF(F356=H356,"Tie score",IF(COUNTIFS($A$2:$A$801,A356,$E$2:$E$801,E356)+COUNTIFS($A$2:$A$801,A356,$G$2:$G$801,E356)&gt;1,"Team 1 listed twice this week",IF(COUNTIFS($A$2:$A$801,A356,$E$2:$E$801,G356)+COUNTIFS($A$2:$A$801,A356,$G$2:$G$801,G356)&gt;1,"Team 2 listed twice this week",""))))))))</f>
        <v/>
      </c>
    </row>
    <row r="357">
      <c r="A357" s="11" t="n"/>
      <c r="B357" s="9">
        <f>IF(A357="","",IFERROR(INDEX(Lists!$G$2:$G$7,MATCH(A357,Lists!$F$2:$F$7,0)),"?"))</f>
        <v/>
      </c>
      <c r="C357" s="4" t="n"/>
      <c r="D357" s="4" t="n"/>
      <c r="E357" s="4" t="n"/>
      <c r="F357" s="11" t="n"/>
      <c r="G357" s="4" t="n"/>
      <c r="H357" s="11" t="n"/>
      <c r="I357" s="11" t="n"/>
      <c r="J357" s="9">
        <f>IF(OR(F357="",H357=""),"",IF(F357&gt;H357,E357,IF(H357&gt;F357,G357,"")))</f>
        <v/>
      </c>
      <c r="K357" s="4" t="n"/>
      <c r="L357" s="9">
        <f>IF(COUNTA(A357,C357,D357,E357,F357,G357,H357,I357)=0,"",IF(OR(A357="",C357="",E357="",G357=""),"Missing week/class/team",IF(AND(D357="",I357&lt;&gt;"Y"),"No chapter (forfeit?)",IF(AND(D357&lt;&gt;"",I357="Y"),"Forfeit has a chapter",IF(OR(F357="",H357=""),"Missing score",IF(F357=H357,"Tie score",IF(COUNTIFS($A$2:$A$801,A357,$E$2:$E$801,E357)+COUNTIFS($A$2:$A$801,A357,$G$2:$G$801,E357)&gt;1,"Team 1 listed twice this week",IF(COUNTIFS($A$2:$A$801,A357,$E$2:$E$801,G357)+COUNTIFS($A$2:$A$801,A357,$G$2:$G$801,G357)&gt;1,"Team 2 listed twice this week",""))))))))</f>
        <v/>
      </c>
    </row>
    <row r="358">
      <c r="A358" s="11" t="n"/>
      <c r="B358" s="9">
        <f>IF(A358="","",IFERROR(INDEX(Lists!$G$2:$G$7,MATCH(A358,Lists!$F$2:$F$7,0)),"?"))</f>
        <v/>
      </c>
      <c r="C358" s="4" t="n"/>
      <c r="D358" s="4" t="n"/>
      <c r="E358" s="4" t="n"/>
      <c r="F358" s="11" t="n"/>
      <c r="G358" s="4" t="n"/>
      <c r="H358" s="11" t="n"/>
      <c r="I358" s="11" t="n"/>
      <c r="J358" s="9">
        <f>IF(OR(F358="",H358=""),"",IF(F358&gt;H358,E358,IF(H358&gt;F358,G358,"")))</f>
        <v/>
      </c>
      <c r="K358" s="4" t="n"/>
      <c r="L358" s="9">
        <f>IF(COUNTA(A358,C358,D358,E358,F358,G358,H358,I358)=0,"",IF(OR(A358="",C358="",E358="",G358=""),"Missing week/class/team",IF(AND(D358="",I358&lt;&gt;"Y"),"No chapter (forfeit?)",IF(AND(D358&lt;&gt;"",I358="Y"),"Forfeit has a chapter",IF(OR(F358="",H358=""),"Missing score",IF(F358=H358,"Tie score",IF(COUNTIFS($A$2:$A$801,A358,$E$2:$E$801,E358)+COUNTIFS($A$2:$A$801,A358,$G$2:$G$801,E358)&gt;1,"Team 1 listed twice this week",IF(COUNTIFS($A$2:$A$801,A358,$E$2:$E$801,G358)+COUNTIFS($A$2:$A$801,A358,$G$2:$G$801,G358)&gt;1,"Team 2 listed twice this week",""))))))))</f>
        <v/>
      </c>
    </row>
    <row r="359">
      <c r="A359" s="11" t="n"/>
      <c r="B359" s="9">
        <f>IF(A359="","",IFERROR(INDEX(Lists!$G$2:$G$7,MATCH(A359,Lists!$F$2:$F$7,0)),"?"))</f>
        <v/>
      </c>
      <c r="C359" s="4" t="n"/>
      <c r="D359" s="4" t="n"/>
      <c r="E359" s="4" t="n"/>
      <c r="F359" s="11" t="n"/>
      <c r="G359" s="4" t="n"/>
      <c r="H359" s="11" t="n"/>
      <c r="I359" s="11" t="n"/>
      <c r="J359" s="9">
        <f>IF(OR(F359="",H359=""),"",IF(F359&gt;H359,E359,IF(H359&gt;F359,G359,"")))</f>
        <v/>
      </c>
      <c r="K359" s="4" t="n"/>
      <c r="L359" s="9">
        <f>IF(COUNTA(A359,C359,D359,E359,F359,G359,H359,I359)=0,"",IF(OR(A359="",C359="",E359="",G359=""),"Missing week/class/team",IF(AND(D359="",I359&lt;&gt;"Y"),"No chapter (forfeit?)",IF(AND(D359&lt;&gt;"",I359="Y"),"Forfeit has a chapter",IF(OR(F359="",H359=""),"Missing score",IF(F359=H359,"Tie score",IF(COUNTIFS($A$2:$A$801,A359,$E$2:$E$801,E359)+COUNTIFS($A$2:$A$801,A359,$G$2:$G$801,E359)&gt;1,"Team 1 listed twice this week",IF(COUNTIFS($A$2:$A$801,A359,$E$2:$E$801,G359)+COUNTIFS($A$2:$A$801,A359,$G$2:$G$801,G359)&gt;1,"Team 2 listed twice this week",""))))))))</f>
        <v/>
      </c>
    </row>
    <row r="360">
      <c r="A360" s="11" t="n"/>
      <c r="B360" s="9">
        <f>IF(A360="","",IFERROR(INDEX(Lists!$G$2:$G$7,MATCH(A360,Lists!$F$2:$F$7,0)),"?"))</f>
        <v/>
      </c>
      <c r="C360" s="4" t="n"/>
      <c r="D360" s="4" t="n"/>
      <c r="E360" s="4" t="n"/>
      <c r="F360" s="11" t="n"/>
      <c r="G360" s="4" t="n"/>
      <c r="H360" s="11" t="n"/>
      <c r="I360" s="11" t="n"/>
      <c r="J360" s="9">
        <f>IF(OR(F360="",H360=""),"",IF(F360&gt;H360,E360,IF(H360&gt;F360,G360,"")))</f>
        <v/>
      </c>
      <c r="K360" s="4" t="n"/>
      <c r="L360" s="9">
        <f>IF(COUNTA(A360,C360,D360,E360,F360,G360,H360,I360)=0,"",IF(OR(A360="",C360="",E360="",G360=""),"Missing week/class/team",IF(AND(D360="",I360&lt;&gt;"Y"),"No chapter (forfeit?)",IF(AND(D360&lt;&gt;"",I360="Y"),"Forfeit has a chapter",IF(OR(F360="",H360=""),"Missing score",IF(F360=H360,"Tie score",IF(COUNTIFS($A$2:$A$801,A360,$E$2:$E$801,E360)+COUNTIFS($A$2:$A$801,A360,$G$2:$G$801,E360)&gt;1,"Team 1 listed twice this week",IF(COUNTIFS($A$2:$A$801,A360,$E$2:$E$801,G360)+COUNTIFS($A$2:$A$801,A360,$G$2:$G$801,G360)&gt;1,"Team 2 listed twice this week",""))))))))</f>
        <v/>
      </c>
    </row>
    <row r="361">
      <c r="A361" s="11" t="n"/>
      <c r="B361" s="9">
        <f>IF(A361="","",IFERROR(INDEX(Lists!$G$2:$G$7,MATCH(A361,Lists!$F$2:$F$7,0)),"?"))</f>
        <v/>
      </c>
      <c r="C361" s="4" t="n"/>
      <c r="D361" s="4" t="n"/>
      <c r="E361" s="4" t="n"/>
      <c r="F361" s="11" t="n"/>
      <c r="G361" s="4" t="n"/>
      <c r="H361" s="11" t="n"/>
      <c r="I361" s="11" t="n"/>
      <c r="J361" s="9">
        <f>IF(OR(F361="",H361=""),"",IF(F361&gt;H361,E361,IF(H361&gt;F361,G361,"")))</f>
        <v/>
      </c>
      <c r="K361" s="4" t="n"/>
      <c r="L361" s="9">
        <f>IF(COUNTA(A361,C361,D361,E361,F361,G361,H361,I361)=0,"",IF(OR(A361="",C361="",E361="",G361=""),"Missing week/class/team",IF(AND(D361="",I361&lt;&gt;"Y"),"No chapter (forfeit?)",IF(AND(D361&lt;&gt;"",I361="Y"),"Forfeit has a chapter",IF(OR(F361="",H361=""),"Missing score",IF(F361=H361,"Tie score",IF(COUNTIFS($A$2:$A$801,A361,$E$2:$E$801,E361)+COUNTIFS($A$2:$A$801,A361,$G$2:$G$801,E361)&gt;1,"Team 1 listed twice this week",IF(COUNTIFS($A$2:$A$801,A361,$E$2:$E$801,G361)+COUNTIFS($A$2:$A$801,A361,$G$2:$G$801,G361)&gt;1,"Team 2 listed twice this week",""))))))))</f>
        <v/>
      </c>
    </row>
    <row r="362">
      <c r="A362" s="11" t="n"/>
      <c r="B362" s="9">
        <f>IF(A362="","",IFERROR(INDEX(Lists!$G$2:$G$7,MATCH(A362,Lists!$F$2:$F$7,0)),"?"))</f>
        <v/>
      </c>
      <c r="C362" s="4" t="n"/>
      <c r="D362" s="4" t="n"/>
      <c r="E362" s="4" t="n"/>
      <c r="F362" s="11" t="n"/>
      <c r="G362" s="4" t="n"/>
      <c r="H362" s="11" t="n"/>
      <c r="I362" s="11" t="n"/>
      <c r="J362" s="9">
        <f>IF(OR(F362="",H362=""),"",IF(F362&gt;H362,E362,IF(H362&gt;F362,G362,"")))</f>
        <v/>
      </c>
      <c r="K362" s="4" t="n"/>
      <c r="L362" s="9">
        <f>IF(COUNTA(A362,C362,D362,E362,F362,G362,H362,I362)=0,"",IF(OR(A362="",C362="",E362="",G362=""),"Missing week/class/team",IF(AND(D362="",I362&lt;&gt;"Y"),"No chapter (forfeit?)",IF(AND(D362&lt;&gt;"",I362="Y"),"Forfeit has a chapter",IF(OR(F362="",H362=""),"Missing score",IF(F362=H362,"Tie score",IF(COUNTIFS($A$2:$A$801,A362,$E$2:$E$801,E362)+COUNTIFS($A$2:$A$801,A362,$G$2:$G$801,E362)&gt;1,"Team 1 listed twice this week",IF(COUNTIFS($A$2:$A$801,A362,$E$2:$E$801,G362)+COUNTIFS($A$2:$A$801,A362,$G$2:$G$801,G362)&gt;1,"Team 2 listed twice this week",""))))))))</f>
        <v/>
      </c>
    </row>
    <row r="363">
      <c r="A363" s="11" t="n"/>
      <c r="B363" s="9">
        <f>IF(A363="","",IFERROR(INDEX(Lists!$G$2:$G$7,MATCH(A363,Lists!$F$2:$F$7,0)),"?"))</f>
        <v/>
      </c>
      <c r="C363" s="4" t="n"/>
      <c r="D363" s="4" t="n"/>
      <c r="E363" s="4" t="n"/>
      <c r="F363" s="11" t="n"/>
      <c r="G363" s="4" t="n"/>
      <c r="H363" s="11" t="n"/>
      <c r="I363" s="11" t="n"/>
      <c r="J363" s="9">
        <f>IF(OR(F363="",H363=""),"",IF(F363&gt;H363,E363,IF(H363&gt;F363,G363,"")))</f>
        <v/>
      </c>
      <c r="K363" s="4" t="n"/>
      <c r="L363" s="9">
        <f>IF(COUNTA(A363,C363,D363,E363,F363,G363,H363,I363)=0,"",IF(OR(A363="",C363="",E363="",G363=""),"Missing week/class/team",IF(AND(D363="",I363&lt;&gt;"Y"),"No chapter (forfeit?)",IF(AND(D363&lt;&gt;"",I363="Y"),"Forfeit has a chapter",IF(OR(F363="",H363=""),"Missing score",IF(F363=H363,"Tie score",IF(COUNTIFS($A$2:$A$801,A363,$E$2:$E$801,E363)+COUNTIFS($A$2:$A$801,A363,$G$2:$G$801,E363)&gt;1,"Team 1 listed twice this week",IF(COUNTIFS($A$2:$A$801,A363,$E$2:$E$801,G363)+COUNTIFS($A$2:$A$801,A363,$G$2:$G$801,G363)&gt;1,"Team 2 listed twice this week",""))))))))</f>
        <v/>
      </c>
    </row>
    <row r="364">
      <c r="A364" s="11" t="n"/>
      <c r="B364" s="9">
        <f>IF(A364="","",IFERROR(INDEX(Lists!$G$2:$G$7,MATCH(A364,Lists!$F$2:$F$7,0)),"?"))</f>
        <v/>
      </c>
      <c r="C364" s="4" t="n"/>
      <c r="D364" s="4" t="n"/>
      <c r="E364" s="4" t="n"/>
      <c r="F364" s="11" t="n"/>
      <c r="G364" s="4" t="n"/>
      <c r="H364" s="11" t="n"/>
      <c r="I364" s="11" t="n"/>
      <c r="J364" s="9">
        <f>IF(OR(F364="",H364=""),"",IF(F364&gt;H364,E364,IF(H364&gt;F364,G364,"")))</f>
        <v/>
      </c>
      <c r="K364" s="4" t="n"/>
      <c r="L364" s="9">
        <f>IF(COUNTA(A364,C364,D364,E364,F364,G364,H364,I364)=0,"",IF(OR(A364="",C364="",E364="",G364=""),"Missing week/class/team",IF(AND(D364="",I364&lt;&gt;"Y"),"No chapter (forfeit?)",IF(AND(D364&lt;&gt;"",I364="Y"),"Forfeit has a chapter",IF(OR(F364="",H364=""),"Missing score",IF(F364=H364,"Tie score",IF(COUNTIFS($A$2:$A$801,A364,$E$2:$E$801,E364)+COUNTIFS($A$2:$A$801,A364,$G$2:$G$801,E364)&gt;1,"Team 1 listed twice this week",IF(COUNTIFS($A$2:$A$801,A364,$E$2:$E$801,G364)+COUNTIFS($A$2:$A$801,A364,$G$2:$G$801,G364)&gt;1,"Team 2 listed twice this week",""))))))))</f>
        <v/>
      </c>
    </row>
    <row r="365">
      <c r="A365" s="11" t="n"/>
      <c r="B365" s="9">
        <f>IF(A365="","",IFERROR(INDEX(Lists!$G$2:$G$7,MATCH(A365,Lists!$F$2:$F$7,0)),"?"))</f>
        <v/>
      </c>
      <c r="C365" s="4" t="n"/>
      <c r="D365" s="4" t="n"/>
      <c r="E365" s="4" t="n"/>
      <c r="F365" s="11" t="n"/>
      <c r="G365" s="4" t="n"/>
      <c r="H365" s="11" t="n"/>
      <c r="I365" s="11" t="n"/>
      <c r="J365" s="9">
        <f>IF(OR(F365="",H365=""),"",IF(F365&gt;H365,E365,IF(H365&gt;F365,G365,"")))</f>
        <v/>
      </c>
      <c r="K365" s="4" t="n"/>
      <c r="L365" s="9">
        <f>IF(COUNTA(A365,C365,D365,E365,F365,G365,H365,I365)=0,"",IF(OR(A365="",C365="",E365="",G365=""),"Missing week/class/team",IF(AND(D365="",I365&lt;&gt;"Y"),"No chapter (forfeit?)",IF(AND(D365&lt;&gt;"",I365="Y"),"Forfeit has a chapter",IF(OR(F365="",H365=""),"Missing score",IF(F365=H365,"Tie score",IF(COUNTIFS($A$2:$A$801,A365,$E$2:$E$801,E365)+COUNTIFS($A$2:$A$801,A365,$G$2:$G$801,E365)&gt;1,"Team 1 listed twice this week",IF(COUNTIFS($A$2:$A$801,A365,$E$2:$E$801,G365)+COUNTIFS($A$2:$A$801,A365,$G$2:$G$801,G365)&gt;1,"Team 2 listed twice this week",""))))))))</f>
        <v/>
      </c>
    </row>
    <row r="366">
      <c r="A366" s="11" t="n"/>
      <c r="B366" s="9">
        <f>IF(A366="","",IFERROR(INDEX(Lists!$G$2:$G$7,MATCH(A366,Lists!$F$2:$F$7,0)),"?"))</f>
        <v/>
      </c>
      <c r="C366" s="4" t="n"/>
      <c r="D366" s="4" t="n"/>
      <c r="E366" s="4" t="n"/>
      <c r="F366" s="11" t="n"/>
      <c r="G366" s="4" t="n"/>
      <c r="H366" s="11" t="n"/>
      <c r="I366" s="11" t="n"/>
      <c r="J366" s="9">
        <f>IF(OR(F366="",H366=""),"",IF(F366&gt;H366,E366,IF(H366&gt;F366,G366,"")))</f>
        <v/>
      </c>
      <c r="K366" s="4" t="n"/>
      <c r="L366" s="9">
        <f>IF(COUNTA(A366,C366,D366,E366,F366,G366,H366,I366)=0,"",IF(OR(A366="",C366="",E366="",G366=""),"Missing week/class/team",IF(AND(D366="",I366&lt;&gt;"Y"),"No chapter (forfeit?)",IF(AND(D366&lt;&gt;"",I366="Y"),"Forfeit has a chapter",IF(OR(F366="",H366=""),"Missing score",IF(F366=H366,"Tie score",IF(COUNTIFS($A$2:$A$801,A366,$E$2:$E$801,E366)+COUNTIFS($A$2:$A$801,A366,$G$2:$G$801,E366)&gt;1,"Team 1 listed twice this week",IF(COUNTIFS($A$2:$A$801,A366,$E$2:$E$801,G366)+COUNTIFS($A$2:$A$801,A366,$G$2:$G$801,G366)&gt;1,"Team 2 listed twice this week",""))))))))</f>
        <v/>
      </c>
    </row>
    <row r="367">
      <c r="A367" s="11" t="n"/>
      <c r="B367" s="9">
        <f>IF(A367="","",IFERROR(INDEX(Lists!$G$2:$G$7,MATCH(A367,Lists!$F$2:$F$7,0)),"?"))</f>
        <v/>
      </c>
      <c r="C367" s="4" t="n"/>
      <c r="D367" s="4" t="n"/>
      <c r="E367" s="4" t="n"/>
      <c r="F367" s="11" t="n"/>
      <c r="G367" s="4" t="n"/>
      <c r="H367" s="11" t="n"/>
      <c r="I367" s="11" t="n"/>
      <c r="J367" s="9">
        <f>IF(OR(F367="",H367=""),"",IF(F367&gt;H367,E367,IF(H367&gt;F367,G367,"")))</f>
        <v/>
      </c>
      <c r="K367" s="4" t="n"/>
      <c r="L367" s="9">
        <f>IF(COUNTA(A367,C367,D367,E367,F367,G367,H367,I367)=0,"",IF(OR(A367="",C367="",E367="",G367=""),"Missing week/class/team",IF(AND(D367="",I367&lt;&gt;"Y"),"No chapter (forfeit?)",IF(AND(D367&lt;&gt;"",I367="Y"),"Forfeit has a chapter",IF(OR(F367="",H367=""),"Missing score",IF(F367=H367,"Tie score",IF(COUNTIFS($A$2:$A$801,A367,$E$2:$E$801,E367)+COUNTIFS($A$2:$A$801,A367,$G$2:$G$801,E367)&gt;1,"Team 1 listed twice this week",IF(COUNTIFS($A$2:$A$801,A367,$E$2:$E$801,G367)+COUNTIFS($A$2:$A$801,A367,$G$2:$G$801,G367)&gt;1,"Team 2 listed twice this week",""))))))))</f>
        <v/>
      </c>
    </row>
    <row r="368">
      <c r="A368" s="11" t="n"/>
      <c r="B368" s="9">
        <f>IF(A368="","",IFERROR(INDEX(Lists!$G$2:$G$7,MATCH(A368,Lists!$F$2:$F$7,0)),"?"))</f>
        <v/>
      </c>
      <c r="C368" s="4" t="n"/>
      <c r="D368" s="4" t="n"/>
      <c r="E368" s="4" t="n"/>
      <c r="F368" s="11" t="n"/>
      <c r="G368" s="4" t="n"/>
      <c r="H368" s="11" t="n"/>
      <c r="I368" s="11" t="n"/>
      <c r="J368" s="9">
        <f>IF(OR(F368="",H368=""),"",IF(F368&gt;H368,E368,IF(H368&gt;F368,G368,"")))</f>
        <v/>
      </c>
      <c r="K368" s="4" t="n"/>
      <c r="L368" s="9">
        <f>IF(COUNTA(A368,C368,D368,E368,F368,G368,H368,I368)=0,"",IF(OR(A368="",C368="",E368="",G368=""),"Missing week/class/team",IF(AND(D368="",I368&lt;&gt;"Y"),"No chapter (forfeit?)",IF(AND(D368&lt;&gt;"",I368="Y"),"Forfeit has a chapter",IF(OR(F368="",H368=""),"Missing score",IF(F368=H368,"Tie score",IF(COUNTIFS($A$2:$A$801,A368,$E$2:$E$801,E368)+COUNTIFS($A$2:$A$801,A368,$G$2:$G$801,E368)&gt;1,"Team 1 listed twice this week",IF(COUNTIFS($A$2:$A$801,A368,$E$2:$E$801,G368)+COUNTIFS($A$2:$A$801,A368,$G$2:$G$801,G368)&gt;1,"Team 2 listed twice this week",""))))))))</f>
        <v/>
      </c>
    </row>
    <row r="369">
      <c r="A369" s="11" t="n"/>
      <c r="B369" s="9">
        <f>IF(A369="","",IFERROR(INDEX(Lists!$G$2:$G$7,MATCH(A369,Lists!$F$2:$F$7,0)),"?"))</f>
        <v/>
      </c>
      <c r="C369" s="4" t="n"/>
      <c r="D369" s="4" t="n"/>
      <c r="E369" s="4" t="n"/>
      <c r="F369" s="11" t="n"/>
      <c r="G369" s="4" t="n"/>
      <c r="H369" s="11" t="n"/>
      <c r="I369" s="11" t="n"/>
      <c r="J369" s="9">
        <f>IF(OR(F369="",H369=""),"",IF(F369&gt;H369,E369,IF(H369&gt;F369,G369,"")))</f>
        <v/>
      </c>
      <c r="K369" s="4" t="n"/>
      <c r="L369" s="9">
        <f>IF(COUNTA(A369,C369,D369,E369,F369,G369,H369,I369)=0,"",IF(OR(A369="",C369="",E369="",G369=""),"Missing week/class/team",IF(AND(D369="",I369&lt;&gt;"Y"),"No chapter (forfeit?)",IF(AND(D369&lt;&gt;"",I369="Y"),"Forfeit has a chapter",IF(OR(F369="",H369=""),"Missing score",IF(F369=H369,"Tie score",IF(COUNTIFS($A$2:$A$801,A369,$E$2:$E$801,E369)+COUNTIFS($A$2:$A$801,A369,$G$2:$G$801,E369)&gt;1,"Team 1 listed twice this week",IF(COUNTIFS($A$2:$A$801,A369,$E$2:$E$801,G369)+COUNTIFS($A$2:$A$801,A369,$G$2:$G$801,G369)&gt;1,"Team 2 listed twice this week",""))))))))</f>
        <v/>
      </c>
    </row>
    <row r="370">
      <c r="A370" s="11" t="n"/>
      <c r="B370" s="9">
        <f>IF(A370="","",IFERROR(INDEX(Lists!$G$2:$G$7,MATCH(A370,Lists!$F$2:$F$7,0)),"?"))</f>
        <v/>
      </c>
      <c r="C370" s="4" t="n"/>
      <c r="D370" s="4" t="n"/>
      <c r="E370" s="4" t="n"/>
      <c r="F370" s="11" t="n"/>
      <c r="G370" s="4" t="n"/>
      <c r="H370" s="11" t="n"/>
      <c r="I370" s="11" t="n"/>
      <c r="J370" s="9">
        <f>IF(OR(F370="",H370=""),"",IF(F370&gt;H370,E370,IF(H370&gt;F370,G370,"")))</f>
        <v/>
      </c>
      <c r="K370" s="4" t="n"/>
      <c r="L370" s="9">
        <f>IF(COUNTA(A370,C370,D370,E370,F370,G370,H370,I370)=0,"",IF(OR(A370="",C370="",E370="",G370=""),"Missing week/class/team",IF(AND(D370="",I370&lt;&gt;"Y"),"No chapter (forfeit?)",IF(AND(D370&lt;&gt;"",I370="Y"),"Forfeit has a chapter",IF(OR(F370="",H370=""),"Missing score",IF(F370=H370,"Tie score",IF(COUNTIFS($A$2:$A$801,A370,$E$2:$E$801,E370)+COUNTIFS($A$2:$A$801,A370,$G$2:$G$801,E370)&gt;1,"Team 1 listed twice this week",IF(COUNTIFS($A$2:$A$801,A370,$E$2:$E$801,G370)+COUNTIFS($A$2:$A$801,A370,$G$2:$G$801,G370)&gt;1,"Team 2 listed twice this week",""))))))))</f>
        <v/>
      </c>
    </row>
    <row r="371">
      <c r="A371" s="11" t="n"/>
      <c r="B371" s="9">
        <f>IF(A371="","",IFERROR(INDEX(Lists!$G$2:$G$7,MATCH(A371,Lists!$F$2:$F$7,0)),"?"))</f>
        <v/>
      </c>
      <c r="C371" s="4" t="n"/>
      <c r="D371" s="4" t="n"/>
      <c r="E371" s="4" t="n"/>
      <c r="F371" s="11" t="n"/>
      <c r="G371" s="4" t="n"/>
      <c r="H371" s="11" t="n"/>
      <c r="I371" s="11" t="n"/>
      <c r="J371" s="9">
        <f>IF(OR(F371="",H371=""),"",IF(F371&gt;H371,E371,IF(H371&gt;F371,G371,"")))</f>
        <v/>
      </c>
      <c r="K371" s="4" t="n"/>
      <c r="L371" s="9">
        <f>IF(COUNTA(A371,C371,D371,E371,F371,G371,H371,I371)=0,"",IF(OR(A371="",C371="",E371="",G371=""),"Missing week/class/team",IF(AND(D371="",I371&lt;&gt;"Y"),"No chapter (forfeit?)",IF(AND(D371&lt;&gt;"",I371="Y"),"Forfeit has a chapter",IF(OR(F371="",H371=""),"Missing score",IF(F371=H371,"Tie score",IF(COUNTIFS($A$2:$A$801,A371,$E$2:$E$801,E371)+COUNTIFS($A$2:$A$801,A371,$G$2:$G$801,E371)&gt;1,"Team 1 listed twice this week",IF(COUNTIFS($A$2:$A$801,A371,$E$2:$E$801,G371)+COUNTIFS($A$2:$A$801,A371,$G$2:$G$801,G371)&gt;1,"Team 2 listed twice this week",""))))))))</f>
        <v/>
      </c>
    </row>
    <row r="372">
      <c r="A372" s="11" t="n"/>
      <c r="B372" s="9">
        <f>IF(A372="","",IFERROR(INDEX(Lists!$G$2:$G$7,MATCH(A372,Lists!$F$2:$F$7,0)),"?"))</f>
        <v/>
      </c>
      <c r="C372" s="4" t="n"/>
      <c r="D372" s="4" t="n"/>
      <c r="E372" s="4" t="n"/>
      <c r="F372" s="11" t="n"/>
      <c r="G372" s="4" t="n"/>
      <c r="H372" s="11" t="n"/>
      <c r="I372" s="11" t="n"/>
      <c r="J372" s="9">
        <f>IF(OR(F372="",H372=""),"",IF(F372&gt;H372,E372,IF(H372&gt;F372,G372,"")))</f>
        <v/>
      </c>
      <c r="K372" s="4" t="n"/>
      <c r="L372" s="9">
        <f>IF(COUNTA(A372,C372,D372,E372,F372,G372,H372,I372)=0,"",IF(OR(A372="",C372="",E372="",G372=""),"Missing week/class/team",IF(AND(D372="",I372&lt;&gt;"Y"),"No chapter (forfeit?)",IF(AND(D372&lt;&gt;"",I372="Y"),"Forfeit has a chapter",IF(OR(F372="",H372=""),"Missing score",IF(F372=H372,"Tie score",IF(COUNTIFS($A$2:$A$801,A372,$E$2:$E$801,E372)+COUNTIFS($A$2:$A$801,A372,$G$2:$G$801,E372)&gt;1,"Team 1 listed twice this week",IF(COUNTIFS($A$2:$A$801,A372,$E$2:$E$801,G372)+COUNTIFS($A$2:$A$801,A372,$G$2:$G$801,G372)&gt;1,"Team 2 listed twice this week",""))))))))</f>
        <v/>
      </c>
    </row>
    <row r="373">
      <c r="A373" s="11" t="n"/>
      <c r="B373" s="9">
        <f>IF(A373="","",IFERROR(INDEX(Lists!$G$2:$G$7,MATCH(A373,Lists!$F$2:$F$7,0)),"?"))</f>
        <v/>
      </c>
      <c r="C373" s="4" t="n"/>
      <c r="D373" s="4" t="n"/>
      <c r="E373" s="4" t="n"/>
      <c r="F373" s="11" t="n"/>
      <c r="G373" s="4" t="n"/>
      <c r="H373" s="11" t="n"/>
      <c r="I373" s="11" t="n"/>
      <c r="J373" s="9">
        <f>IF(OR(F373="",H373=""),"",IF(F373&gt;H373,E373,IF(H373&gt;F373,G373,"")))</f>
        <v/>
      </c>
      <c r="K373" s="4" t="n"/>
      <c r="L373" s="9">
        <f>IF(COUNTA(A373,C373,D373,E373,F373,G373,H373,I373)=0,"",IF(OR(A373="",C373="",E373="",G373=""),"Missing week/class/team",IF(AND(D373="",I373&lt;&gt;"Y"),"No chapter (forfeit?)",IF(AND(D373&lt;&gt;"",I373="Y"),"Forfeit has a chapter",IF(OR(F373="",H373=""),"Missing score",IF(F373=H373,"Tie score",IF(COUNTIFS($A$2:$A$801,A373,$E$2:$E$801,E373)+COUNTIFS($A$2:$A$801,A373,$G$2:$G$801,E373)&gt;1,"Team 1 listed twice this week",IF(COUNTIFS($A$2:$A$801,A373,$E$2:$E$801,G373)+COUNTIFS($A$2:$A$801,A373,$G$2:$G$801,G373)&gt;1,"Team 2 listed twice this week",""))))))))</f>
        <v/>
      </c>
    </row>
    <row r="374">
      <c r="A374" s="11" t="n"/>
      <c r="B374" s="9">
        <f>IF(A374="","",IFERROR(INDEX(Lists!$G$2:$G$7,MATCH(A374,Lists!$F$2:$F$7,0)),"?"))</f>
        <v/>
      </c>
      <c r="C374" s="4" t="n"/>
      <c r="D374" s="4" t="n"/>
      <c r="E374" s="4" t="n"/>
      <c r="F374" s="11" t="n"/>
      <c r="G374" s="4" t="n"/>
      <c r="H374" s="11" t="n"/>
      <c r="I374" s="11" t="n"/>
      <c r="J374" s="9">
        <f>IF(OR(F374="",H374=""),"",IF(F374&gt;H374,E374,IF(H374&gt;F374,G374,"")))</f>
        <v/>
      </c>
      <c r="K374" s="4" t="n"/>
      <c r="L374" s="9">
        <f>IF(COUNTA(A374,C374,D374,E374,F374,G374,H374,I374)=0,"",IF(OR(A374="",C374="",E374="",G374=""),"Missing week/class/team",IF(AND(D374="",I374&lt;&gt;"Y"),"No chapter (forfeit?)",IF(AND(D374&lt;&gt;"",I374="Y"),"Forfeit has a chapter",IF(OR(F374="",H374=""),"Missing score",IF(F374=H374,"Tie score",IF(COUNTIFS($A$2:$A$801,A374,$E$2:$E$801,E374)+COUNTIFS($A$2:$A$801,A374,$G$2:$G$801,E374)&gt;1,"Team 1 listed twice this week",IF(COUNTIFS($A$2:$A$801,A374,$E$2:$E$801,G374)+COUNTIFS($A$2:$A$801,A374,$G$2:$G$801,G374)&gt;1,"Team 2 listed twice this week",""))))))))</f>
        <v/>
      </c>
    </row>
    <row r="375">
      <c r="A375" s="11" t="n"/>
      <c r="B375" s="9">
        <f>IF(A375="","",IFERROR(INDEX(Lists!$G$2:$G$7,MATCH(A375,Lists!$F$2:$F$7,0)),"?"))</f>
        <v/>
      </c>
      <c r="C375" s="4" t="n"/>
      <c r="D375" s="4" t="n"/>
      <c r="E375" s="4" t="n"/>
      <c r="F375" s="11" t="n"/>
      <c r="G375" s="4" t="n"/>
      <c r="H375" s="11" t="n"/>
      <c r="I375" s="11" t="n"/>
      <c r="J375" s="9">
        <f>IF(OR(F375="",H375=""),"",IF(F375&gt;H375,E375,IF(H375&gt;F375,G375,"")))</f>
        <v/>
      </c>
      <c r="K375" s="4" t="n"/>
      <c r="L375" s="9">
        <f>IF(COUNTA(A375,C375,D375,E375,F375,G375,H375,I375)=0,"",IF(OR(A375="",C375="",E375="",G375=""),"Missing week/class/team",IF(AND(D375="",I375&lt;&gt;"Y"),"No chapter (forfeit?)",IF(AND(D375&lt;&gt;"",I375="Y"),"Forfeit has a chapter",IF(OR(F375="",H375=""),"Missing score",IF(F375=H375,"Tie score",IF(COUNTIFS($A$2:$A$801,A375,$E$2:$E$801,E375)+COUNTIFS($A$2:$A$801,A375,$G$2:$G$801,E375)&gt;1,"Team 1 listed twice this week",IF(COUNTIFS($A$2:$A$801,A375,$E$2:$E$801,G375)+COUNTIFS($A$2:$A$801,A375,$G$2:$G$801,G375)&gt;1,"Team 2 listed twice this week",""))))))))</f>
        <v/>
      </c>
    </row>
    <row r="376">
      <c r="A376" s="11" t="n"/>
      <c r="B376" s="9">
        <f>IF(A376="","",IFERROR(INDEX(Lists!$G$2:$G$7,MATCH(A376,Lists!$F$2:$F$7,0)),"?"))</f>
        <v/>
      </c>
      <c r="C376" s="4" t="n"/>
      <c r="D376" s="4" t="n"/>
      <c r="E376" s="4" t="n"/>
      <c r="F376" s="11" t="n"/>
      <c r="G376" s="4" t="n"/>
      <c r="H376" s="11" t="n"/>
      <c r="I376" s="11" t="n"/>
      <c r="J376" s="9">
        <f>IF(OR(F376="",H376=""),"",IF(F376&gt;H376,E376,IF(H376&gt;F376,G376,"")))</f>
        <v/>
      </c>
      <c r="K376" s="4" t="n"/>
      <c r="L376" s="9">
        <f>IF(COUNTA(A376,C376,D376,E376,F376,G376,H376,I376)=0,"",IF(OR(A376="",C376="",E376="",G376=""),"Missing week/class/team",IF(AND(D376="",I376&lt;&gt;"Y"),"No chapter (forfeit?)",IF(AND(D376&lt;&gt;"",I376="Y"),"Forfeit has a chapter",IF(OR(F376="",H376=""),"Missing score",IF(F376=H376,"Tie score",IF(COUNTIFS($A$2:$A$801,A376,$E$2:$E$801,E376)+COUNTIFS($A$2:$A$801,A376,$G$2:$G$801,E376)&gt;1,"Team 1 listed twice this week",IF(COUNTIFS($A$2:$A$801,A376,$E$2:$E$801,G376)+COUNTIFS($A$2:$A$801,A376,$G$2:$G$801,G376)&gt;1,"Team 2 listed twice this week",""))))))))</f>
        <v/>
      </c>
    </row>
    <row r="377">
      <c r="A377" s="11" t="n"/>
      <c r="B377" s="9">
        <f>IF(A377="","",IFERROR(INDEX(Lists!$G$2:$G$7,MATCH(A377,Lists!$F$2:$F$7,0)),"?"))</f>
        <v/>
      </c>
      <c r="C377" s="4" t="n"/>
      <c r="D377" s="4" t="n"/>
      <c r="E377" s="4" t="n"/>
      <c r="F377" s="11" t="n"/>
      <c r="G377" s="4" t="n"/>
      <c r="H377" s="11" t="n"/>
      <c r="I377" s="11" t="n"/>
      <c r="J377" s="9">
        <f>IF(OR(F377="",H377=""),"",IF(F377&gt;H377,E377,IF(H377&gt;F377,G377,"")))</f>
        <v/>
      </c>
      <c r="K377" s="4" t="n"/>
      <c r="L377" s="9">
        <f>IF(COUNTA(A377,C377,D377,E377,F377,G377,H377,I377)=0,"",IF(OR(A377="",C377="",E377="",G377=""),"Missing week/class/team",IF(AND(D377="",I377&lt;&gt;"Y"),"No chapter (forfeit?)",IF(AND(D377&lt;&gt;"",I377="Y"),"Forfeit has a chapter",IF(OR(F377="",H377=""),"Missing score",IF(F377=H377,"Tie score",IF(COUNTIFS($A$2:$A$801,A377,$E$2:$E$801,E377)+COUNTIFS($A$2:$A$801,A377,$G$2:$G$801,E377)&gt;1,"Team 1 listed twice this week",IF(COUNTIFS($A$2:$A$801,A377,$E$2:$E$801,G377)+COUNTIFS($A$2:$A$801,A377,$G$2:$G$801,G377)&gt;1,"Team 2 listed twice this week",""))))))))</f>
        <v/>
      </c>
    </row>
    <row r="378">
      <c r="A378" s="11" t="n"/>
      <c r="B378" s="9">
        <f>IF(A378="","",IFERROR(INDEX(Lists!$G$2:$G$7,MATCH(A378,Lists!$F$2:$F$7,0)),"?"))</f>
        <v/>
      </c>
      <c r="C378" s="4" t="n"/>
      <c r="D378" s="4" t="n"/>
      <c r="E378" s="4" t="n"/>
      <c r="F378" s="11" t="n"/>
      <c r="G378" s="4" t="n"/>
      <c r="H378" s="11" t="n"/>
      <c r="I378" s="11" t="n"/>
      <c r="J378" s="9">
        <f>IF(OR(F378="",H378=""),"",IF(F378&gt;H378,E378,IF(H378&gt;F378,G378,"")))</f>
        <v/>
      </c>
      <c r="K378" s="4" t="n"/>
      <c r="L378" s="9">
        <f>IF(COUNTA(A378,C378,D378,E378,F378,G378,H378,I378)=0,"",IF(OR(A378="",C378="",E378="",G378=""),"Missing week/class/team",IF(AND(D378="",I378&lt;&gt;"Y"),"No chapter (forfeit?)",IF(AND(D378&lt;&gt;"",I378="Y"),"Forfeit has a chapter",IF(OR(F378="",H378=""),"Missing score",IF(F378=H378,"Tie score",IF(COUNTIFS($A$2:$A$801,A378,$E$2:$E$801,E378)+COUNTIFS($A$2:$A$801,A378,$G$2:$G$801,E378)&gt;1,"Team 1 listed twice this week",IF(COUNTIFS($A$2:$A$801,A378,$E$2:$E$801,G378)+COUNTIFS($A$2:$A$801,A378,$G$2:$G$801,G378)&gt;1,"Team 2 listed twice this week",""))))))))</f>
        <v/>
      </c>
    </row>
    <row r="379">
      <c r="A379" s="11" t="n"/>
      <c r="B379" s="9">
        <f>IF(A379="","",IFERROR(INDEX(Lists!$G$2:$G$7,MATCH(A379,Lists!$F$2:$F$7,0)),"?"))</f>
        <v/>
      </c>
      <c r="C379" s="4" t="n"/>
      <c r="D379" s="4" t="n"/>
      <c r="E379" s="4" t="n"/>
      <c r="F379" s="11" t="n"/>
      <c r="G379" s="4" t="n"/>
      <c r="H379" s="11" t="n"/>
      <c r="I379" s="11" t="n"/>
      <c r="J379" s="9">
        <f>IF(OR(F379="",H379=""),"",IF(F379&gt;H379,E379,IF(H379&gt;F379,G379,"")))</f>
        <v/>
      </c>
      <c r="K379" s="4" t="n"/>
      <c r="L379" s="9">
        <f>IF(COUNTA(A379,C379,D379,E379,F379,G379,H379,I379)=0,"",IF(OR(A379="",C379="",E379="",G379=""),"Missing week/class/team",IF(AND(D379="",I379&lt;&gt;"Y"),"No chapter (forfeit?)",IF(AND(D379&lt;&gt;"",I379="Y"),"Forfeit has a chapter",IF(OR(F379="",H379=""),"Missing score",IF(F379=H379,"Tie score",IF(COUNTIFS($A$2:$A$801,A379,$E$2:$E$801,E379)+COUNTIFS($A$2:$A$801,A379,$G$2:$G$801,E379)&gt;1,"Team 1 listed twice this week",IF(COUNTIFS($A$2:$A$801,A379,$E$2:$E$801,G379)+COUNTIFS($A$2:$A$801,A379,$G$2:$G$801,G379)&gt;1,"Team 2 listed twice this week",""))))))))</f>
        <v/>
      </c>
    </row>
    <row r="380">
      <c r="A380" s="11" t="n"/>
      <c r="B380" s="9">
        <f>IF(A380="","",IFERROR(INDEX(Lists!$G$2:$G$7,MATCH(A380,Lists!$F$2:$F$7,0)),"?"))</f>
        <v/>
      </c>
      <c r="C380" s="4" t="n"/>
      <c r="D380" s="4" t="n"/>
      <c r="E380" s="4" t="n"/>
      <c r="F380" s="11" t="n"/>
      <c r="G380" s="4" t="n"/>
      <c r="H380" s="11" t="n"/>
      <c r="I380" s="11" t="n"/>
      <c r="J380" s="9">
        <f>IF(OR(F380="",H380=""),"",IF(F380&gt;H380,E380,IF(H380&gt;F380,G380,"")))</f>
        <v/>
      </c>
      <c r="K380" s="4" t="n"/>
      <c r="L380" s="9">
        <f>IF(COUNTA(A380,C380,D380,E380,F380,G380,H380,I380)=0,"",IF(OR(A380="",C380="",E380="",G380=""),"Missing week/class/team",IF(AND(D380="",I380&lt;&gt;"Y"),"No chapter (forfeit?)",IF(AND(D380&lt;&gt;"",I380="Y"),"Forfeit has a chapter",IF(OR(F380="",H380=""),"Missing score",IF(F380=H380,"Tie score",IF(COUNTIFS($A$2:$A$801,A380,$E$2:$E$801,E380)+COUNTIFS($A$2:$A$801,A380,$G$2:$G$801,E380)&gt;1,"Team 1 listed twice this week",IF(COUNTIFS($A$2:$A$801,A380,$E$2:$E$801,G380)+COUNTIFS($A$2:$A$801,A380,$G$2:$G$801,G380)&gt;1,"Team 2 listed twice this week",""))))))))</f>
        <v/>
      </c>
    </row>
    <row r="381">
      <c r="A381" s="11" t="n"/>
      <c r="B381" s="9">
        <f>IF(A381="","",IFERROR(INDEX(Lists!$G$2:$G$7,MATCH(A381,Lists!$F$2:$F$7,0)),"?"))</f>
        <v/>
      </c>
      <c r="C381" s="4" t="n"/>
      <c r="D381" s="4" t="n"/>
      <c r="E381" s="4" t="n"/>
      <c r="F381" s="11" t="n"/>
      <c r="G381" s="4" t="n"/>
      <c r="H381" s="11" t="n"/>
      <c r="I381" s="11" t="n"/>
      <c r="J381" s="9">
        <f>IF(OR(F381="",H381=""),"",IF(F381&gt;H381,E381,IF(H381&gt;F381,G381,"")))</f>
        <v/>
      </c>
      <c r="K381" s="4" t="n"/>
      <c r="L381" s="9">
        <f>IF(COUNTA(A381,C381,D381,E381,F381,G381,H381,I381)=0,"",IF(OR(A381="",C381="",E381="",G381=""),"Missing week/class/team",IF(AND(D381="",I381&lt;&gt;"Y"),"No chapter (forfeit?)",IF(AND(D381&lt;&gt;"",I381="Y"),"Forfeit has a chapter",IF(OR(F381="",H381=""),"Missing score",IF(F381=H381,"Tie score",IF(COUNTIFS($A$2:$A$801,A381,$E$2:$E$801,E381)+COUNTIFS($A$2:$A$801,A381,$G$2:$G$801,E381)&gt;1,"Team 1 listed twice this week",IF(COUNTIFS($A$2:$A$801,A381,$E$2:$E$801,G381)+COUNTIFS($A$2:$A$801,A381,$G$2:$G$801,G381)&gt;1,"Team 2 listed twice this week",""))))))))</f>
        <v/>
      </c>
    </row>
    <row r="382">
      <c r="A382" s="11" t="n"/>
      <c r="B382" s="9">
        <f>IF(A382="","",IFERROR(INDEX(Lists!$G$2:$G$7,MATCH(A382,Lists!$F$2:$F$7,0)),"?"))</f>
        <v/>
      </c>
      <c r="C382" s="4" t="n"/>
      <c r="D382" s="4" t="n"/>
      <c r="E382" s="4" t="n"/>
      <c r="F382" s="11" t="n"/>
      <c r="G382" s="4" t="n"/>
      <c r="H382" s="11" t="n"/>
      <c r="I382" s="11" t="n"/>
      <c r="J382" s="9">
        <f>IF(OR(F382="",H382=""),"",IF(F382&gt;H382,E382,IF(H382&gt;F382,G382,"")))</f>
        <v/>
      </c>
      <c r="K382" s="4" t="n"/>
      <c r="L382" s="9">
        <f>IF(COUNTA(A382,C382,D382,E382,F382,G382,H382,I382)=0,"",IF(OR(A382="",C382="",E382="",G382=""),"Missing week/class/team",IF(AND(D382="",I382&lt;&gt;"Y"),"No chapter (forfeit?)",IF(AND(D382&lt;&gt;"",I382="Y"),"Forfeit has a chapter",IF(OR(F382="",H382=""),"Missing score",IF(F382=H382,"Tie score",IF(COUNTIFS($A$2:$A$801,A382,$E$2:$E$801,E382)+COUNTIFS($A$2:$A$801,A382,$G$2:$G$801,E382)&gt;1,"Team 1 listed twice this week",IF(COUNTIFS($A$2:$A$801,A382,$E$2:$E$801,G382)+COUNTIFS($A$2:$A$801,A382,$G$2:$G$801,G382)&gt;1,"Team 2 listed twice this week",""))))))))</f>
        <v/>
      </c>
    </row>
    <row r="383">
      <c r="A383" s="11" t="n"/>
      <c r="B383" s="9">
        <f>IF(A383="","",IFERROR(INDEX(Lists!$G$2:$G$7,MATCH(A383,Lists!$F$2:$F$7,0)),"?"))</f>
        <v/>
      </c>
      <c r="C383" s="4" t="n"/>
      <c r="D383" s="4" t="n"/>
      <c r="E383" s="4" t="n"/>
      <c r="F383" s="11" t="n"/>
      <c r="G383" s="4" t="n"/>
      <c r="H383" s="11" t="n"/>
      <c r="I383" s="11" t="n"/>
      <c r="J383" s="9">
        <f>IF(OR(F383="",H383=""),"",IF(F383&gt;H383,E383,IF(H383&gt;F383,G383,"")))</f>
        <v/>
      </c>
      <c r="K383" s="4" t="n"/>
      <c r="L383" s="9">
        <f>IF(COUNTA(A383,C383,D383,E383,F383,G383,H383,I383)=0,"",IF(OR(A383="",C383="",E383="",G383=""),"Missing week/class/team",IF(AND(D383="",I383&lt;&gt;"Y"),"No chapter (forfeit?)",IF(AND(D383&lt;&gt;"",I383="Y"),"Forfeit has a chapter",IF(OR(F383="",H383=""),"Missing score",IF(F383=H383,"Tie score",IF(COUNTIFS($A$2:$A$801,A383,$E$2:$E$801,E383)+COUNTIFS($A$2:$A$801,A383,$G$2:$G$801,E383)&gt;1,"Team 1 listed twice this week",IF(COUNTIFS($A$2:$A$801,A383,$E$2:$E$801,G383)+COUNTIFS($A$2:$A$801,A383,$G$2:$G$801,G383)&gt;1,"Team 2 listed twice this week",""))))))))</f>
        <v/>
      </c>
    </row>
    <row r="384">
      <c r="A384" s="11" t="n"/>
      <c r="B384" s="9">
        <f>IF(A384="","",IFERROR(INDEX(Lists!$G$2:$G$7,MATCH(A384,Lists!$F$2:$F$7,0)),"?"))</f>
        <v/>
      </c>
      <c r="C384" s="4" t="n"/>
      <c r="D384" s="4" t="n"/>
      <c r="E384" s="4" t="n"/>
      <c r="F384" s="11" t="n"/>
      <c r="G384" s="4" t="n"/>
      <c r="H384" s="11" t="n"/>
      <c r="I384" s="11" t="n"/>
      <c r="J384" s="9">
        <f>IF(OR(F384="",H384=""),"",IF(F384&gt;H384,E384,IF(H384&gt;F384,G384,"")))</f>
        <v/>
      </c>
      <c r="K384" s="4" t="n"/>
      <c r="L384" s="9">
        <f>IF(COUNTA(A384,C384,D384,E384,F384,G384,H384,I384)=0,"",IF(OR(A384="",C384="",E384="",G384=""),"Missing week/class/team",IF(AND(D384="",I384&lt;&gt;"Y"),"No chapter (forfeit?)",IF(AND(D384&lt;&gt;"",I384="Y"),"Forfeit has a chapter",IF(OR(F384="",H384=""),"Missing score",IF(F384=H384,"Tie score",IF(COUNTIFS($A$2:$A$801,A384,$E$2:$E$801,E384)+COUNTIFS($A$2:$A$801,A384,$G$2:$G$801,E384)&gt;1,"Team 1 listed twice this week",IF(COUNTIFS($A$2:$A$801,A384,$E$2:$E$801,G384)+COUNTIFS($A$2:$A$801,A384,$G$2:$G$801,G384)&gt;1,"Team 2 listed twice this week",""))))))))</f>
        <v/>
      </c>
    </row>
    <row r="385">
      <c r="A385" s="11" t="n"/>
      <c r="B385" s="9">
        <f>IF(A385="","",IFERROR(INDEX(Lists!$G$2:$G$7,MATCH(A385,Lists!$F$2:$F$7,0)),"?"))</f>
        <v/>
      </c>
      <c r="C385" s="4" t="n"/>
      <c r="D385" s="4" t="n"/>
      <c r="E385" s="4" t="n"/>
      <c r="F385" s="11" t="n"/>
      <c r="G385" s="4" t="n"/>
      <c r="H385" s="11" t="n"/>
      <c r="I385" s="11" t="n"/>
      <c r="J385" s="9">
        <f>IF(OR(F385="",H385=""),"",IF(F385&gt;H385,E385,IF(H385&gt;F385,G385,"")))</f>
        <v/>
      </c>
      <c r="K385" s="4" t="n"/>
      <c r="L385" s="9">
        <f>IF(COUNTA(A385,C385,D385,E385,F385,G385,H385,I385)=0,"",IF(OR(A385="",C385="",E385="",G385=""),"Missing week/class/team",IF(AND(D385="",I385&lt;&gt;"Y"),"No chapter (forfeit?)",IF(AND(D385&lt;&gt;"",I385="Y"),"Forfeit has a chapter",IF(OR(F385="",H385=""),"Missing score",IF(F385=H385,"Tie score",IF(COUNTIFS($A$2:$A$801,A385,$E$2:$E$801,E385)+COUNTIFS($A$2:$A$801,A385,$G$2:$G$801,E385)&gt;1,"Team 1 listed twice this week",IF(COUNTIFS($A$2:$A$801,A385,$E$2:$E$801,G385)+COUNTIFS($A$2:$A$801,A385,$G$2:$G$801,G385)&gt;1,"Team 2 listed twice this week",""))))))))</f>
        <v/>
      </c>
    </row>
    <row r="386">
      <c r="A386" s="11" t="n"/>
      <c r="B386" s="9">
        <f>IF(A386="","",IFERROR(INDEX(Lists!$G$2:$G$7,MATCH(A386,Lists!$F$2:$F$7,0)),"?"))</f>
        <v/>
      </c>
      <c r="C386" s="4" t="n"/>
      <c r="D386" s="4" t="n"/>
      <c r="E386" s="4" t="n"/>
      <c r="F386" s="11" t="n"/>
      <c r="G386" s="4" t="n"/>
      <c r="H386" s="11" t="n"/>
      <c r="I386" s="11" t="n"/>
      <c r="J386" s="9">
        <f>IF(OR(F386="",H386=""),"",IF(F386&gt;H386,E386,IF(H386&gt;F386,G386,"")))</f>
        <v/>
      </c>
      <c r="K386" s="4" t="n"/>
      <c r="L386" s="9">
        <f>IF(COUNTA(A386,C386,D386,E386,F386,G386,H386,I386)=0,"",IF(OR(A386="",C386="",E386="",G386=""),"Missing week/class/team",IF(AND(D386="",I386&lt;&gt;"Y"),"No chapter (forfeit?)",IF(AND(D386&lt;&gt;"",I386="Y"),"Forfeit has a chapter",IF(OR(F386="",H386=""),"Missing score",IF(F386=H386,"Tie score",IF(COUNTIFS($A$2:$A$801,A386,$E$2:$E$801,E386)+COUNTIFS($A$2:$A$801,A386,$G$2:$G$801,E386)&gt;1,"Team 1 listed twice this week",IF(COUNTIFS($A$2:$A$801,A386,$E$2:$E$801,G386)+COUNTIFS($A$2:$A$801,A386,$G$2:$G$801,G386)&gt;1,"Team 2 listed twice this week",""))))))))</f>
        <v/>
      </c>
    </row>
    <row r="387">
      <c r="A387" s="11" t="n"/>
      <c r="B387" s="9">
        <f>IF(A387="","",IFERROR(INDEX(Lists!$G$2:$G$7,MATCH(A387,Lists!$F$2:$F$7,0)),"?"))</f>
        <v/>
      </c>
      <c r="C387" s="4" t="n"/>
      <c r="D387" s="4" t="n"/>
      <c r="E387" s="4" t="n"/>
      <c r="F387" s="11" t="n"/>
      <c r="G387" s="4" t="n"/>
      <c r="H387" s="11" t="n"/>
      <c r="I387" s="11" t="n"/>
      <c r="J387" s="9">
        <f>IF(OR(F387="",H387=""),"",IF(F387&gt;H387,E387,IF(H387&gt;F387,G387,"")))</f>
        <v/>
      </c>
      <c r="K387" s="4" t="n"/>
      <c r="L387" s="9">
        <f>IF(COUNTA(A387,C387,D387,E387,F387,G387,H387,I387)=0,"",IF(OR(A387="",C387="",E387="",G387=""),"Missing week/class/team",IF(AND(D387="",I387&lt;&gt;"Y"),"No chapter (forfeit?)",IF(AND(D387&lt;&gt;"",I387="Y"),"Forfeit has a chapter",IF(OR(F387="",H387=""),"Missing score",IF(F387=H387,"Tie score",IF(COUNTIFS($A$2:$A$801,A387,$E$2:$E$801,E387)+COUNTIFS($A$2:$A$801,A387,$G$2:$G$801,E387)&gt;1,"Team 1 listed twice this week",IF(COUNTIFS($A$2:$A$801,A387,$E$2:$E$801,G387)+COUNTIFS($A$2:$A$801,A387,$G$2:$G$801,G387)&gt;1,"Team 2 listed twice this week",""))))))))</f>
        <v/>
      </c>
    </row>
    <row r="388">
      <c r="A388" s="11" t="n"/>
      <c r="B388" s="9">
        <f>IF(A388="","",IFERROR(INDEX(Lists!$G$2:$G$7,MATCH(A388,Lists!$F$2:$F$7,0)),"?"))</f>
        <v/>
      </c>
      <c r="C388" s="4" t="n"/>
      <c r="D388" s="4" t="n"/>
      <c r="E388" s="4" t="n"/>
      <c r="F388" s="11" t="n"/>
      <c r="G388" s="4" t="n"/>
      <c r="H388" s="11" t="n"/>
      <c r="I388" s="11" t="n"/>
      <c r="J388" s="9">
        <f>IF(OR(F388="",H388=""),"",IF(F388&gt;H388,E388,IF(H388&gt;F388,G388,"")))</f>
        <v/>
      </c>
      <c r="K388" s="4" t="n"/>
      <c r="L388" s="9">
        <f>IF(COUNTA(A388,C388,D388,E388,F388,G388,H388,I388)=0,"",IF(OR(A388="",C388="",E388="",G388=""),"Missing week/class/team",IF(AND(D388="",I388&lt;&gt;"Y"),"No chapter (forfeit?)",IF(AND(D388&lt;&gt;"",I388="Y"),"Forfeit has a chapter",IF(OR(F388="",H388=""),"Missing score",IF(F388=H388,"Tie score",IF(COUNTIFS($A$2:$A$801,A388,$E$2:$E$801,E388)+COUNTIFS($A$2:$A$801,A388,$G$2:$G$801,E388)&gt;1,"Team 1 listed twice this week",IF(COUNTIFS($A$2:$A$801,A388,$E$2:$E$801,G388)+COUNTIFS($A$2:$A$801,A388,$G$2:$G$801,G388)&gt;1,"Team 2 listed twice this week",""))))))))</f>
        <v/>
      </c>
    </row>
    <row r="389">
      <c r="A389" s="11" t="n"/>
      <c r="B389" s="9">
        <f>IF(A389="","",IFERROR(INDEX(Lists!$G$2:$G$7,MATCH(A389,Lists!$F$2:$F$7,0)),"?"))</f>
        <v/>
      </c>
      <c r="C389" s="4" t="n"/>
      <c r="D389" s="4" t="n"/>
      <c r="E389" s="4" t="n"/>
      <c r="F389" s="11" t="n"/>
      <c r="G389" s="4" t="n"/>
      <c r="H389" s="11" t="n"/>
      <c r="I389" s="11" t="n"/>
      <c r="J389" s="9">
        <f>IF(OR(F389="",H389=""),"",IF(F389&gt;H389,E389,IF(H389&gt;F389,G389,"")))</f>
        <v/>
      </c>
      <c r="K389" s="4" t="n"/>
      <c r="L389" s="9">
        <f>IF(COUNTA(A389,C389,D389,E389,F389,G389,H389,I389)=0,"",IF(OR(A389="",C389="",E389="",G389=""),"Missing week/class/team",IF(AND(D389="",I389&lt;&gt;"Y"),"No chapter (forfeit?)",IF(AND(D389&lt;&gt;"",I389="Y"),"Forfeit has a chapter",IF(OR(F389="",H389=""),"Missing score",IF(F389=H389,"Tie score",IF(COUNTIFS($A$2:$A$801,A389,$E$2:$E$801,E389)+COUNTIFS($A$2:$A$801,A389,$G$2:$G$801,E389)&gt;1,"Team 1 listed twice this week",IF(COUNTIFS($A$2:$A$801,A389,$E$2:$E$801,G389)+COUNTIFS($A$2:$A$801,A389,$G$2:$G$801,G389)&gt;1,"Team 2 listed twice this week",""))))))))</f>
        <v/>
      </c>
    </row>
    <row r="390">
      <c r="A390" s="11" t="n"/>
      <c r="B390" s="9">
        <f>IF(A390="","",IFERROR(INDEX(Lists!$G$2:$G$7,MATCH(A390,Lists!$F$2:$F$7,0)),"?"))</f>
        <v/>
      </c>
      <c r="C390" s="4" t="n"/>
      <c r="D390" s="4" t="n"/>
      <c r="E390" s="4" t="n"/>
      <c r="F390" s="11" t="n"/>
      <c r="G390" s="4" t="n"/>
      <c r="H390" s="11" t="n"/>
      <c r="I390" s="11" t="n"/>
      <c r="J390" s="9">
        <f>IF(OR(F390="",H390=""),"",IF(F390&gt;H390,E390,IF(H390&gt;F390,G390,"")))</f>
        <v/>
      </c>
      <c r="K390" s="4" t="n"/>
      <c r="L390" s="9">
        <f>IF(COUNTA(A390,C390,D390,E390,F390,G390,H390,I390)=0,"",IF(OR(A390="",C390="",E390="",G390=""),"Missing week/class/team",IF(AND(D390="",I390&lt;&gt;"Y"),"No chapter (forfeit?)",IF(AND(D390&lt;&gt;"",I390="Y"),"Forfeit has a chapter",IF(OR(F390="",H390=""),"Missing score",IF(F390=H390,"Tie score",IF(COUNTIFS($A$2:$A$801,A390,$E$2:$E$801,E390)+COUNTIFS($A$2:$A$801,A390,$G$2:$G$801,E390)&gt;1,"Team 1 listed twice this week",IF(COUNTIFS($A$2:$A$801,A390,$E$2:$E$801,G390)+COUNTIFS($A$2:$A$801,A390,$G$2:$G$801,G390)&gt;1,"Team 2 listed twice this week",""))))))))</f>
        <v/>
      </c>
    </row>
    <row r="391">
      <c r="A391" s="11" t="n"/>
      <c r="B391" s="9">
        <f>IF(A391="","",IFERROR(INDEX(Lists!$G$2:$G$7,MATCH(A391,Lists!$F$2:$F$7,0)),"?"))</f>
        <v/>
      </c>
      <c r="C391" s="4" t="n"/>
      <c r="D391" s="4" t="n"/>
      <c r="E391" s="4" t="n"/>
      <c r="F391" s="11" t="n"/>
      <c r="G391" s="4" t="n"/>
      <c r="H391" s="11" t="n"/>
      <c r="I391" s="11" t="n"/>
      <c r="J391" s="9">
        <f>IF(OR(F391="",H391=""),"",IF(F391&gt;H391,E391,IF(H391&gt;F391,G391,"")))</f>
        <v/>
      </c>
      <c r="K391" s="4" t="n"/>
      <c r="L391" s="9">
        <f>IF(COUNTA(A391,C391,D391,E391,F391,G391,H391,I391)=0,"",IF(OR(A391="",C391="",E391="",G391=""),"Missing week/class/team",IF(AND(D391="",I391&lt;&gt;"Y"),"No chapter (forfeit?)",IF(AND(D391&lt;&gt;"",I391="Y"),"Forfeit has a chapter",IF(OR(F391="",H391=""),"Missing score",IF(F391=H391,"Tie score",IF(COUNTIFS($A$2:$A$801,A391,$E$2:$E$801,E391)+COUNTIFS($A$2:$A$801,A391,$G$2:$G$801,E391)&gt;1,"Team 1 listed twice this week",IF(COUNTIFS($A$2:$A$801,A391,$E$2:$E$801,G391)+COUNTIFS($A$2:$A$801,A391,$G$2:$G$801,G391)&gt;1,"Team 2 listed twice this week",""))))))))</f>
        <v/>
      </c>
    </row>
    <row r="392">
      <c r="A392" s="11" t="n"/>
      <c r="B392" s="9">
        <f>IF(A392="","",IFERROR(INDEX(Lists!$G$2:$G$7,MATCH(A392,Lists!$F$2:$F$7,0)),"?"))</f>
        <v/>
      </c>
      <c r="C392" s="4" t="n"/>
      <c r="D392" s="4" t="n"/>
      <c r="E392" s="4" t="n"/>
      <c r="F392" s="11" t="n"/>
      <c r="G392" s="4" t="n"/>
      <c r="H392" s="11" t="n"/>
      <c r="I392" s="11" t="n"/>
      <c r="J392" s="9">
        <f>IF(OR(F392="",H392=""),"",IF(F392&gt;H392,E392,IF(H392&gt;F392,G392,"")))</f>
        <v/>
      </c>
      <c r="K392" s="4" t="n"/>
      <c r="L392" s="9">
        <f>IF(COUNTA(A392,C392,D392,E392,F392,G392,H392,I392)=0,"",IF(OR(A392="",C392="",E392="",G392=""),"Missing week/class/team",IF(AND(D392="",I392&lt;&gt;"Y"),"No chapter (forfeit?)",IF(AND(D392&lt;&gt;"",I392="Y"),"Forfeit has a chapter",IF(OR(F392="",H392=""),"Missing score",IF(F392=H392,"Tie score",IF(COUNTIFS($A$2:$A$801,A392,$E$2:$E$801,E392)+COUNTIFS($A$2:$A$801,A392,$G$2:$G$801,E392)&gt;1,"Team 1 listed twice this week",IF(COUNTIFS($A$2:$A$801,A392,$E$2:$E$801,G392)+COUNTIFS($A$2:$A$801,A392,$G$2:$G$801,G392)&gt;1,"Team 2 listed twice this week",""))))))))</f>
        <v/>
      </c>
    </row>
    <row r="393">
      <c r="A393" s="11" t="n"/>
      <c r="B393" s="9">
        <f>IF(A393="","",IFERROR(INDEX(Lists!$G$2:$G$7,MATCH(A393,Lists!$F$2:$F$7,0)),"?"))</f>
        <v/>
      </c>
      <c r="C393" s="4" t="n"/>
      <c r="D393" s="4" t="n"/>
      <c r="E393" s="4" t="n"/>
      <c r="F393" s="11" t="n"/>
      <c r="G393" s="4" t="n"/>
      <c r="H393" s="11" t="n"/>
      <c r="I393" s="11" t="n"/>
      <c r="J393" s="9">
        <f>IF(OR(F393="",H393=""),"",IF(F393&gt;H393,E393,IF(H393&gt;F393,G393,"")))</f>
        <v/>
      </c>
      <c r="K393" s="4" t="n"/>
      <c r="L393" s="9">
        <f>IF(COUNTA(A393,C393,D393,E393,F393,G393,H393,I393)=0,"",IF(OR(A393="",C393="",E393="",G393=""),"Missing week/class/team",IF(AND(D393="",I393&lt;&gt;"Y"),"No chapter (forfeit?)",IF(AND(D393&lt;&gt;"",I393="Y"),"Forfeit has a chapter",IF(OR(F393="",H393=""),"Missing score",IF(F393=H393,"Tie score",IF(COUNTIFS($A$2:$A$801,A393,$E$2:$E$801,E393)+COUNTIFS($A$2:$A$801,A393,$G$2:$G$801,E393)&gt;1,"Team 1 listed twice this week",IF(COUNTIFS($A$2:$A$801,A393,$E$2:$E$801,G393)+COUNTIFS($A$2:$A$801,A393,$G$2:$G$801,G393)&gt;1,"Team 2 listed twice this week",""))))))))</f>
        <v/>
      </c>
    </row>
    <row r="394">
      <c r="A394" s="11" t="n"/>
      <c r="B394" s="9">
        <f>IF(A394="","",IFERROR(INDEX(Lists!$G$2:$G$7,MATCH(A394,Lists!$F$2:$F$7,0)),"?"))</f>
        <v/>
      </c>
      <c r="C394" s="4" t="n"/>
      <c r="D394" s="4" t="n"/>
      <c r="E394" s="4" t="n"/>
      <c r="F394" s="11" t="n"/>
      <c r="G394" s="4" t="n"/>
      <c r="H394" s="11" t="n"/>
      <c r="I394" s="11" t="n"/>
      <c r="J394" s="9">
        <f>IF(OR(F394="",H394=""),"",IF(F394&gt;H394,E394,IF(H394&gt;F394,G394,"")))</f>
        <v/>
      </c>
      <c r="K394" s="4" t="n"/>
      <c r="L394" s="9">
        <f>IF(COUNTA(A394,C394,D394,E394,F394,G394,H394,I394)=0,"",IF(OR(A394="",C394="",E394="",G394=""),"Missing week/class/team",IF(AND(D394="",I394&lt;&gt;"Y"),"No chapter (forfeit?)",IF(AND(D394&lt;&gt;"",I394="Y"),"Forfeit has a chapter",IF(OR(F394="",H394=""),"Missing score",IF(F394=H394,"Tie score",IF(COUNTIFS($A$2:$A$801,A394,$E$2:$E$801,E394)+COUNTIFS($A$2:$A$801,A394,$G$2:$G$801,E394)&gt;1,"Team 1 listed twice this week",IF(COUNTIFS($A$2:$A$801,A394,$E$2:$E$801,G394)+COUNTIFS($A$2:$A$801,A394,$G$2:$G$801,G394)&gt;1,"Team 2 listed twice this week",""))))))))</f>
        <v/>
      </c>
    </row>
    <row r="395">
      <c r="A395" s="11" t="n"/>
      <c r="B395" s="9">
        <f>IF(A395="","",IFERROR(INDEX(Lists!$G$2:$G$7,MATCH(A395,Lists!$F$2:$F$7,0)),"?"))</f>
        <v/>
      </c>
      <c r="C395" s="4" t="n"/>
      <c r="D395" s="4" t="n"/>
      <c r="E395" s="4" t="n"/>
      <c r="F395" s="11" t="n"/>
      <c r="G395" s="4" t="n"/>
      <c r="H395" s="11" t="n"/>
      <c r="I395" s="11" t="n"/>
      <c r="J395" s="9">
        <f>IF(OR(F395="",H395=""),"",IF(F395&gt;H395,E395,IF(H395&gt;F395,G395,"")))</f>
        <v/>
      </c>
      <c r="K395" s="4" t="n"/>
      <c r="L395" s="9">
        <f>IF(COUNTA(A395,C395,D395,E395,F395,G395,H395,I395)=0,"",IF(OR(A395="",C395="",E395="",G395=""),"Missing week/class/team",IF(AND(D395="",I395&lt;&gt;"Y"),"No chapter (forfeit?)",IF(AND(D395&lt;&gt;"",I395="Y"),"Forfeit has a chapter",IF(OR(F395="",H395=""),"Missing score",IF(F395=H395,"Tie score",IF(COUNTIFS($A$2:$A$801,A395,$E$2:$E$801,E395)+COUNTIFS($A$2:$A$801,A395,$G$2:$G$801,E395)&gt;1,"Team 1 listed twice this week",IF(COUNTIFS($A$2:$A$801,A395,$E$2:$E$801,G395)+COUNTIFS($A$2:$A$801,A395,$G$2:$G$801,G395)&gt;1,"Team 2 listed twice this week",""))))))))</f>
        <v/>
      </c>
    </row>
    <row r="396">
      <c r="A396" s="11" t="n"/>
      <c r="B396" s="9">
        <f>IF(A396="","",IFERROR(INDEX(Lists!$G$2:$G$7,MATCH(A396,Lists!$F$2:$F$7,0)),"?"))</f>
        <v/>
      </c>
      <c r="C396" s="4" t="n"/>
      <c r="D396" s="4" t="n"/>
      <c r="E396" s="4" t="n"/>
      <c r="F396" s="11" t="n"/>
      <c r="G396" s="4" t="n"/>
      <c r="H396" s="11" t="n"/>
      <c r="I396" s="11" t="n"/>
      <c r="J396" s="9">
        <f>IF(OR(F396="",H396=""),"",IF(F396&gt;H396,E396,IF(H396&gt;F396,G396,"")))</f>
        <v/>
      </c>
      <c r="K396" s="4" t="n"/>
      <c r="L396" s="9">
        <f>IF(COUNTA(A396,C396,D396,E396,F396,G396,H396,I396)=0,"",IF(OR(A396="",C396="",E396="",G396=""),"Missing week/class/team",IF(AND(D396="",I396&lt;&gt;"Y"),"No chapter (forfeit?)",IF(AND(D396&lt;&gt;"",I396="Y"),"Forfeit has a chapter",IF(OR(F396="",H396=""),"Missing score",IF(F396=H396,"Tie score",IF(COUNTIFS($A$2:$A$801,A396,$E$2:$E$801,E396)+COUNTIFS($A$2:$A$801,A396,$G$2:$G$801,E396)&gt;1,"Team 1 listed twice this week",IF(COUNTIFS($A$2:$A$801,A396,$E$2:$E$801,G396)+COUNTIFS($A$2:$A$801,A396,$G$2:$G$801,G396)&gt;1,"Team 2 listed twice this week",""))))))))</f>
        <v/>
      </c>
    </row>
    <row r="397">
      <c r="A397" s="11" t="n"/>
      <c r="B397" s="9">
        <f>IF(A397="","",IFERROR(INDEX(Lists!$G$2:$G$7,MATCH(A397,Lists!$F$2:$F$7,0)),"?"))</f>
        <v/>
      </c>
      <c r="C397" s="4" t="n"/>
      <c r="D397" s="4" t="n"/>
      <c r="E397" s="4" t="n"/>
      <c r="F397" s="11" t="n"/>
      <c r="G397" s="4" t="n"/>
      <c r="H397" s="11" t="n"/>
      <c r="I397" s="11" t="n"/>
      <c r="J397" s="9">
        <f>IF(OR(F397="",H397=""),"",IF(F397&gt;H397,E397,IF(H397&gt;F397,G397,"")))</f>
        <v/>
      </c>
      <c r="K397" s="4" t="n"/>
      <c r="L397" s="9">
        <f>IF(COUNTA(A397,C397,D397,E397,F397,G397,H397,I397)=0,"",IF(OR(A397="",C397="",E397="",G397=""),"Missing week/class/team",IF(AND(D397="",I397&lt;&gt;"Y"),"No chapter (forfeit?)",IF(AND(D397&lt;&gt;"",I397="Y"),"Forfeit has a chapter",IF(OR(F397="",H397=""),"Missing score",IF(F397=H397,"Tie score",IF(COUNTIFS($A$2:$A$801,A397,$E$2:$E$801,E397)+COUNTIFS($A$2:$A$801,A397,$G$2:$G$801,E397)&gt;1,"Team 1 listed twice this week",IF(COUNTIFS($A$2:$A$801,A397,$E$2:$E$801,G397)+COUNTIFS($A$2:$A$801,A397,$G$2:$G$801,G397)&gt;1,"Team 2 listed twice this week",""))))))))</f>
        <v/>
      </c>
    </row>
    <row r="398">
      <c r="A398" s="11" t="n"/>
      <c r="B398" s="9">
        <f>IF(A398="","",IFERROR(INDEX(Lists!$G$2:$G$7,MATCH(A398,Lists!$F$2:$F$7,0)),"?"))</f>
        <v/>
      </c>
      <c r="C398" s="4" t="n"/>
      <c r="D398" s="4" t="n"/>
      <c r="E398" s="4" t="n"/>
      <c r="F398" s="11" t="n"/>
      <c r="G398" s="4" t="n"/>
      <c r="H398" s="11" t="n"/>
      <c r="I398" s="11" t="n"/>
      <c r="J398" s="9">
        <f>IF(OR(F398="",H398=""),"",IF(F398&gt;H398,E398,IF(H398&gt;F398,G398,"")))</f>
        <v/>
      </c>
      <c r="K398" s="4" t="n"/>
      <c r="L398" s="9">
        <f>IF(COUNTA(A398,C398,D398,E398,F398,G398,H398,I398)=0,"",IF(OR(A398="",C398="",E398="",G398=""),"Missing week/class/team",IF(AND(D398="",I398&lt;&gt;"Y"),"No chapter (forfeit?)",IF(AND(D398&lt;&gt;"",I398="Y"),"Forfeit has a chapter",IF(OR(F398="",H398=""),"Missing score",IF(F398=H398,"Tie score",IF(COUNTIFS($A$2:$A$801,A398,$E$2:$E$801,E398)+COUNTIFS($A$2:$A$801,A398,$G$2:$G$801,E398)&gt;1,"Team 1 listed twice this week",IF(COUNTIFS($A$2:$A$801,A398,$E$2:$E$801,G398)+COUNTIFS($A$2:$A$801,A398,$G$2:$G$801,G398)&gt;1,"Team 2 listed twice this week",""))))))))</f>
        <v/>
      </c>
    </row>
    <row r="399">
      <c r="A399" s="11" t="n"/>
      <c r="B399" s="9">
        <f>IF(A399="","",IFERROR(INDEX(Lists!$G$2:$G$7,MATCH(A399,Lists!$F$2:$F$7,0)),"?"))</f>
        <v/>
      </c>
      <c r="C399" s="4" t="n"/>
      <c r="D399" s="4" t="n"/>
      <c r="E399" s="4" t="n"/>
      <c r="F399" s="11" t="n"/>
      <c r="G399" s="4" t="n"/>
      <c r="H399" s="11" t="n"/>
      <c r="I399" s="11" t="n"/>
      <c r="J399" s="9">
        <f>IF(OR(F399="",H399=""),"",IF(F399&gt;H399,E399,IF(H399&gt;F399,G399,"")))</f>
        <v/>
      </c>
      <c r="K399" s="4" t="n"/>
      <c r="L399" s="9">
        <f>IF(COUNTA(A399,C399,D399,E399,F399,G399,H399,I399)=0,"",IF(OR(A399="",C399="",E399="",G399=""),"Missing week/class/team",IF(AND(D399="",I399&lt;&gt;"Y"),"No chapter (forfeit?)",IF(AND(D399&lt;&gt;"",I399="Y"),"Forfeit has a chapter",IF(OR(F399="",H399=""),"Missing score",IF(F399=H399,"Tie score",IF(COUNTIFS($A$2:$A$801,A399,$E$2:$E$801,E399)+COUNTIFS($A$2:$A$801,A399,$G$2:$G$801,E399)&gt;1,"Team 1 listed twice this week",IF(COUNTIFS($A$2:$A$801,A399,$E$2:$E$801,G399)+COUNTIFS($A$2:$A$801,A399,$G$2:$G$801,G399)&gt;1,"Team 2 listed twice this week",""))))))))</f>
        <v/>
      </c>
    </row>
    <row r="400">
      <c r="A400" s="11" t="n"/>
      <c r="B400" s="9">
        <f>IF(A400="","",IFERROR(INDEX(Lists!$G$2:$G$7,MATCH(A400,Lists!$F$2:$F$7,0)),"?"))</f>
        <v/>
      </c>
      <c r="C400" s="4" t="n"/>
      <c r="D400" s="4" t="n"/>
      <c r="E400" s="4" t="n"/>
      <c r="F400" s="11" t="n"/>
      <c r="G400" s="4" t="n"/>
      <c r="H400" s="11" t="n"/>
      <c r="I400" s="11" t="n"/>
      <c r="J400" s="9">
        <f>IF(OR(F400="",H400=""),"",IF(F400&gt;H400,E400,IF(H400&gt;F400,G400,"")))</f>
        <v/>
      </c>
      <c r="K400" s="4" t="n"/>
      <c r="L400" s="9">
        <f>IF(COUNTA(A400,C400,D400,E400,F400,G400,H400,I400)=0,"",IF(OR(A400="",C400="",E400="",G400=""),"Missing week/class/team",IF(AND(D400="",I400&lt;&gt;"Y"),"No chapter (forfeit?)",IF(AND(D400&lt;&gt;"",I400="Y"),"Forfeit has a chapter",IF(OR(F400="",H400=""),"Missing score",IF(F400=H400,"Tie score",IF(COUNTIFS($A$2:$A$801,A400,$E$2:$E$801,E400)+COUNTIFS($A$2:$A$801,A400,$G$2:$G$801,E400)&gt;1,"Team 1 listed twice this week",IF(COUNTIFS($A$2:$A$801,A400,$E$2:$E$801,G400)+COUNTIFS($A$2:$A$801,A400,$G$2:$G$801,G400)&gt;1,"Team 2 listed twice this week",""))))))))</f>
        <v/>
      </c>
    </row>
    <row r="401">
      <c r="A401" s="11" t="n"/>
      <c r="B401" s="9">
        <f>IF(A401="","",IFERROR(INDEX(Lists!$G$2:$G$7,MATCH(A401,Lists!$F$2:$F$7,0)),"?"))</f>
        <v/>
      </c>
      <c r="C401" s="4" t="n"/>
      <c r="D401" s="4" t="n"/>
      <c r="E401" s="4" t="n"/>
      <c r="F401" s="11" t="n"/>
      <c r="G401" s="4" t="n"/>
      <c r="H401" s="11" t="n"/>
      <c r="I401" s="11" t="n"/>
      <c r="J401" s="9">
        <f>IF(OR(F401="",H401=""),"",IF(F401&gt;H401,E401,IF(H401&gt;F401,G401,"")))</f>
        <v/>
      </c>
      <c r="K401" s="4" t="n"/>
      <c r="L401" s="9">
        <f>IF(COUNTA(A401,C401,D401,E401,F401,G401,H401,I401)=0,"",IF(OR(A401="",C401="",E401="",G401=""),"Missing week/class/team",IF(AND(D401="",I401&lt;&gt;"Y"),"No chapter (forfeit?)",IF(AND(D401&lt;&gt;"",I401="Y"),"Forfeit has a chapter",IF(OR(F401="",H401=""),"Missing score",IF(F401=H401,"Tie score",IF(COUNTIFS($A$2:$A$801,A401,$E$2:$E$801,E401)+COUNTIFS($A$2:$A$801,A401,$G$2:$G$801,E401)&gt;1,"Team 1 listed twice this week",IF(COUNTIFS($A$2:$A$801,A401,$E$2:$E$801,G401)+COUNTIFS($A$2:$A$801,A401,$G$2:$G$801,G401)&gt;1,"Team 2 listed twice this week",""))))))))</f>
        <v/>
      </c>
    </row>
    <row r="402">
      <c r="A402" s="11" t="n"/>
      <c r="B402" s="9">
        <f>IF(A402="","",IFERROR(INDEX(Lists!$G$2:$G$7,MATCH(A402,Lists!$F$2:$F$7,0)),"?"))</f>
        <v/>
      </c>
      <c r="C402" s="4" t="n"/>
      <c r="D402" s="4" t="n"/>
      <c r="E402" s="4" t="n"/>
      <c r="F402" s="11" t="n"/>
      <c r="G402" s="4" t="n"/>
      <c r="H402" s="11" t="n"/>
      <c r="I402" s="11" t="n"/>
      <c r="J402" s="9">
        <f>IF(OR(F402="",H402=""),"",IF(F402&gt;H402,E402,IF(H402&gt;F402,G402,"")))</f>
        <v/>
      </c>
      <c r="K402" s="4" t="n"/>
      <c r="L402" s="9">
        <f>IF(COUNTA(A402,C402,D402,E402,F402,G402,H402,I402)=0,"",IF(OR(A402="",C402="",E402="",G402=""),"Missing week/class/team",IF(AND(D402="",I402&lt;&gt;"Y"),"No chapter (forfeit?)",IF(AND(D402&lt;&gt;"",I402="Y"),"Forfeit has a chapter",IF(OR(F402="",H402=""),"Missing score",IF(F402=H402,"Tie score",IF(COUNTIFS($A$2:$A$801,A402,$E$2:$E$801,E402)+COUNTIFS($A$2:$A$801,A402,$G$2:$G$801,E402)&gt;1,"Team 1 listed twice this week",IF(COUNTIFS($A$2:$A$801,A402,$E$2:$E$801,G402)+COUNTIFS($A$2:$A$801,A402,$G$2:$G$801,G402)&gt;1,"Team 2 listed twice this week",""))))))))</f>
        <v/>
      </c>
    </row>
    <row r="403">
      <c r="A403" s="11" t="n"/>
      <c r="B403" s="9">
        <f>IF(A403="","",IFERROR(INDEX(Lists!$G$2:$G$7,MATCH(A403,Lists!$F$2:$F$7,0)),"?"))</f>
        <v/>
      </c>
      <c r="C403" s="4" t="n"/>
      <c r="D403" s="4" t="n"/>
      <c r="E403" s="4" t="n"/>
      <c r="F403" s="11" t="n"/>
      <c r="G403" s="4" t="n"/>
      <c r="H403" s="11" t="n"/>
      <c r="I403" s="11" t="n"/>
      <c r="J403" s="9">
        <f>IF(OR(F403="",H403=""),"",IF(F403&gt;H403,E403,IF(H403&gt;F403,G403,"")))</f>
        <v/>
      </c>
      <c r="K403" s="4" t="n"/>
      <c r="L403" s="9">
        <f>IF(COUNTA(A403,C403,D403,E403,F403,G403,H403,I403)=0,"",IF(OR(A403="",C403="",E403="",G403=""),"Missing week/class/team",IF(AND(D403="",I403&lt;&gt;"Y"),"No chapter (forfeit?)",IF(AND(D403&lt;&gt;"",I403="Y"),"Forfeit has a chapter",IF(OR(F403="",H403=""),"Missing score",IF(F403=H403,"Tie score",IF(COUNTIFS($A$2:$A$801,A403,$E$2:$E$801,E403)+COUNTIFS($A$2:$A$801,A403,$G$2:$G$801,E403)&gt;1,"Team 1 listed twice this week",IF(COUNTIFS($A$2:$A$801,A403,$E$2:$E$801,G403)+COUNTIFS($A$2:$A$801,A403,$G$2:$G$801,G403)&gt;1,"Team 2 listed twice this week",""))))))))</f>
        <v/>
      </c>
    </row>
    <row r="404">
      <c r="A404" s="11" t="n"/>
      <c r="B404" s="9">
        <f>IF(A404="","",IFERROR(INDEX(Lists!$G$2:$G$7,MATCH(A404,Lists!$F$2:$F$7,0)),"?"))</f>
        <v/>
      </c>
      <c r="C404" s="4" t="n"/>
      <c r="D404" s="4" t="n"/>
      <c r="E404" s="4" t="n"/>
      <c r="F404" s="11" t="n"/>
      <c r="G404" s="4" t="n"/>
      <c r="H404" s="11" t="n"/>
      <c r="I404" s="11" t="n"/>
      <c r="J404" s="9">
        <f>IF(OR(F404="",H404=""),"",IF(F404&gt;H404,E404,IF(H404&gt;F404,G404,"")))</f>
        <v/>
      </c>
      <c r="K404" s="4" t="n"/>
      <c r="L404" s="9">
        <f>IF(COUNTA(A404,C404,D404,E404,F404,G404,H404,I404)=0,"",IF(OR(A404="",C404="",E404="",G404=""),"Missing week/class/team",IF(AND(D404="",I404&lt;&gt;"Y"),"No chapter (forfeit?)",IF(AND(D404&lt;&gt;"",I404="Y"),"Forfeit has a chapter",IF(OR(F404="",H404=""),"Missing score",IF(F404=H404,"Tie score",IF(COUNTIFS($A$2:$A$801,A404,$E$2:$E$801,E404)+COUNTIFS($A$2:$A$801,A404,$G$2:$G$801,E404)&gt;1,"Team 1 listed twice this week",IF(COUNTIFS($A$2:$A$801,A404,$E$2:$E$801,G404)+COUNTIFS($A$2:$A$801,A404,$G$2:$G$801,G404)&gt;1,"Team 2 listed twice this week",""))))))))</f>
        <v/>
      </c>
    </row>
    <row r="405">
      <c r="A405" s="11" t="n"/>
      <c r="B405" s="9">
        <f>IF(A405="","",IFERROR(INDEX(Lists!$G$2:$G$7,MATCH(A405,Lists!$F$2:$F$7,0)),"?"))</f>
        <v/>
      </c>
      <c r="C405" s="4" t="n"/>
      <c r="D405" s="4" t="n"/>
      <c r="E405" s="4" t="n"/>
      <c r="F405" s="11" t="n"/>
      <c r="G405" s="4" t="n"/>
      <c r="H405" s="11" t="n"/>
      <c r="I405" s="11" t="n"/>
      <c r="J405" s="9">
        <f>IF(OR(F405="",H405=""),"",IF(F405&gt;H405,E405,IF(H405&gt;F405,G405,"")))</f>
        <v/>
      </c>
      <c r="K405" s="4" t="n"/>
      <c r="L405" s="9">
        <f>IF(COUNTA(A405,C405,D405,E405,F405,G405,H405,I405)=0,"",IF(OR(A405="",C405="",E405="",G405=""),"Missing week/class/team",IF(AND(D405="",I405&lt;&gt;"Y"),"No chapter (forfeit?)",IF(AND(D405&lt;&gt;"",I405="Y"),"Forfeit has a chapter",IF(OR(F405="",H405=""),"Missing score",IF(F405=H405,"Tie score",IF(COUNTIFS($A$2:$A$801,A405,$E$2:$E$801,E405)+COUNTIFS($A$2:$A$801,A405,$G$2:$G$801,E405)&gt;1,"Team 1 listed twice this week",IF(COUNTIFS($A$2:$A$801,A405,$E$2:$E$801,G405)+COUNTIFS($A$2:$A$801,A405,$G$2:$G$801,G405)&gt;1,"Team 2 listed twice this week",""))))))))</f>
        <v/>
      </c>
    </row>
    <row r="406">
      <c r="A406" s="11" t="n"/>
      <c r="B406" s="9">
        <f>IF(A406="","",IFERROR(INDEX(Lists!$G$2:$G$7,MATCH(A406,Lists!$F$2:$F$7,0)),"?"))</f>
        <v/>
      </c>
      <c r="C406" s="4" t="n"/>
      <c r="D406" s="4" t="n"/>
      <c r="E406" s="4" t="n"/>
      <c r="F406" s="11" t="n"/>
      <c r="G406" s="4" t="n"/>
      <c r="H406" s="11" t="n"/>
      <c r="I406" s="11" t="n"/>
      <c r="J406" s="9">
        <f>IF(OR(F406="",H406=""),"",IF(F406&gt;H406,E406,IF(H406&gt;F406,G406,"")))</f>
        <v/>
      </c>
      <c r="K406" s="4" t="n"/>
      <c r="L406" s="9">
        <f>IF(COUNTA(A406,C406,D406,E406,F406,G406,H406,I406)=0,"",IF(OR(A406="",C406="",E406="",G406=""),"Missing week/class/team",IF(AND(D406="",I406&lt;&gt;"Y"),"No chapter (forfeit?)",IF(AND(D406&lt;&gt;"",I406="Y"),"Forfeit has a chapter",IF(OR(F406="",H406=""),"Missing score",IF(F406=H406,"Tie score",IF(COUNTIFS($A$2:$A$801,A406,$E$2:$E$801,E406)+COUNTIFS($A$2:$A$801,A406,$G$2:$G$801,E406)&gt;1,"Team 1 listed twice this week",IF(COUNTIFS($A$2:$A$801,A406,$E$2:$E$801,G406)+COUNTIFS($A$2:$A$801,A406,$G$2:$G$801,G406)&gt;1,"Team 2 listed twice this week",""))))))))</f>
        <v/>
      </c>
    </row>
    <row r="407">
      <c r="A407" s="11" t="n"/>
      <c r="B407" s="9">
        <f>IF(A407="","",IFERROR(INDEX(Lists!$G$2:$G$7,MATCH(A407,Lists!$F$2:$F$7,0)),"?"))</f>
        <v/>
      </c>
      <c r="C407" s="4" t="n"/>
      <c r="D407" s="4" t="n"/>
      <c r="E407" s="4" t="n"/>
      <c r="F407" s="11" t="n"/>
      <c r="G407" s="4" t="n"/>
      <c r="H407" s="11" t="n"/>
      <c r="I407" s="11" t="n"/>
      <c r="J407" s="9">
        <f>IF(OR(F407="",H407=""),"",IF(F407&gt;H407,E407,IF(H407&gt;F407,G407,"")))</f>
        <v/>
      </c>
      <c r="K407" s="4" t="n"/>
      <c r="L407" s="9">
        <f>IF(COUNTA(A407,C407,D407,E407,F407,G407,H407,I407)=0,"",IF(OR(A407="",C407="",E407="",G407=""),"Missing week/class/team",IF(AND(D407="",I407&lt;&gt;"Y"),"No chapter (forfeit?)",IF(AND(D407&lt;&gt;"",I407="Y"),"Forfeit has a chapter",IF(OR(F407="",H407=""),"Missing score",IF(F407=H407,"Tie score",IF(COUNTIFS($A$2:$A$801,A407,$E$2:$E$801,E407)+COUNTIFS($A$2:$A$801,A407,$G$2:$G$801,E407)&gt;1,"Team 1 listed twice this week",IF(COUNTIFS($A$2:$A$801,A407,$E$2:$E$801,G407)+COUNTIFS($A$2:$A$801,A407,$G$2:$G$801,G407)&gt;1,"Team 2 listed twice this week",""))))))))</f>
        <v/>
      </c>
    </row>
    <row r="408">
      <c r="A408" s="11" t="n"/>
      <c r="B408" s="9">
        <f>IF(A408="","",IFERROR(INDEX(Lists!$G$2:$G$7,MATCH(A408,Lists!$F$2:$F$7,0)),"?"))</f>
        <v/>
      </c>
      <c r="C408" s="4" t="n"/>
      <c r="D408" s="4" t="n"/>
      <c r="E408" s="4" t="n"/>
      <c r="F408" s="11" t="n"/>
      <c r="G408" s="4" t="n"/>
      <c r="H408" s="11" t="n"/>
      <c r="I408" s="11" t="n"/>
      <c r="J408" s="9">
        <f>IF(OR(F408="",H408=""),"",IF(F408&gt;H408,E408,IF(H408&gt;F408,G408,"")))</f>
        <v/>
      </c>
      <c r="K408" s="4" t="n"/>
      <c r="L408" s="9">
        <f>IF(COUNTA(A408,C408,D408,E408,F408,G408,H408,I408)=0,"",IF(OR(A408="",C408="",E408="",G408=""),"Missing week/class/team",IF(AND(D408="",I408&lt;&gt;"Y"),"No chapter (forfeit?)",IF(AND(D408&lt;&gt;"",I408="Y"),"Forfeit has a chapter",IF(OR(F408="",H408=""),"Missing score",IF(F408=H408,"Tie score",IF(COUNTIFS($A$2:$A$801,A408,$E$2:$E$801,E408)+COUNTIFS($A$2:$A$801,A408,$G$2:$G$801,E408)&gt;1,"Team 1 listed twice this week",IF(COUNTIFS($A$2:$A$801,A408,$E$2:$E$801,G408)+COUNTIFS($A$2:$A$801,A408,$G$2:$G$801,G408)&gt;1,"Team 2 listed twice this week",""))))))))</f>
        <v/>
      </c>
    </row>
    <row r="409">
      <c r="A409" s="11" t="n"/>
      <c r="B409" s="9">
        <f>IF(A409="","",IFERROR(INDEX(Lists!$G$2:$G$7,MATCH(A409,Lists!$F$2:$F$7,0)),"?"))</f>
        <v/>
      </c>
      <c r="C409" s="4" t="n"/>
      <c r="D409" s="4" t="n"/>
      <c r="E409" s="4" t="n"/>
      <c r="F409" s="11" t="n"/>
      <c r="G409" s="4" t="n"/>
      <c r="H409" s="11" t="n"/>
      <c r="I409" s="11" t="n"/>
      <c r="J409" s="9">
        <f>IF(OR(F409="",H409=""),"",IF(F409&gt;H409,E409,IF(H409&gt;F409,G409,"")))</f>
        <v/>
      </c>
      <c r="K409" s="4" t="n"/>
      <c r="L409" s="9">
        <f>IF(COUNTA(A409,C409,D409,E409,F409,G409,H409,I409)=0,"",IF(OR(A409="",C409="",E409="",G409=""),"Missing week/class/team",IF(AND(D409="",I409&lt;&gt;"Y"),"No chapter (forfeit?)",IF(AND(D409&lt;&gt;"",I409="Y"),"Forfeit has a chapter",IF(OR(F409="",H409=""),"Missing score",IF(F409=H409,"Tie score",IF(COUNTIFS($A$2:$A$801,A409,$E$2:$E$801,E409)+COUNTIFS($A$2:$A$801,A409,$G$2:$G$801,E409)&gt;1,"Team 1 listed twice this week",IF(COUNTIFS($A$2:$A$801,A409,$E$2:$E$801,G409)+COUNTIFS($A$2:$A$801,A409,$G$2:$G$801,G409)&gt;1,"Team 2 listed twice this week",""))))))))</f>
        <v/>
      </c>
    </row>
    <row r="410">
      <c r="A410" s="11" t="n"/>
      <c r="B410" s="9">
        <f>IF(A410="","",IFERROR(INDEX(Lists!$G$2:$G$7,MATCH(A410,Lists!$F$2:$F$7,0)),"?"))</f>
        <v/>
      </c>
      <c r="C410" s="4" t="n"/>
      <c r="D410" s="4" t="n"/>
      <c r="E410" s="4" t="n"/>
      <c r="F410" s="11" t="n"/>
      <c r="G410" s="4" t="n"/>
      <c r="H410" s="11" t="n"/>
      <c r="I410" s="11" t="n"/>
      <c r="J410" s="9">
        <f>IF(OR(F410="",H410=""),"",IF(F410&gt;H410,E410,IF(H410&gt;F410,G410,"")))</f>
        <v/>
      </c>
      <c r="K410" s="4" t="n"/>
      <c r="L410" s="9">
        <f>IF(COUNTA(A410,C410,D410,E410,F410,G410,H410,I410)=0,"",IF(OR(A410="",C410="",E410="",G410=""),"Missing week/class/team",IF(AND(D410="",I410&lt;&gt;"Y"),"No chapter (forfeit?)",IF(AND(D410&lt;&gt;"",I410="Y"),"Forfeit has a chapter",IF(OR(F410="",H410=""),"Missing score",IF(F410=H410,"Tie score",IF(COUNTIFS($A$2:$A$801,A410,$E$2:$E$801,E410)+COUNTIFS($A$2:$A$801,A410,$G$2:$G$801,E410)&gt;1,"Team 1 listed twice this week",IF(COUNTIFS($A$2:$A$801,A410,$E$2:$E$801,G410)+COUNTIFS($A$2:$A$801,A410,$G$2:$G$801,G410)&gt;1,"Team 2 listed twice this week",""))))))))</f>
        <v/>
      </c>
    </row>
    <row r="411">
      <c r="A411" s="11" t="n"/>
      <c r="B411" s="9">
        <f>IF(A411="","",IFERROR(INDEX(Lists!$G$2:$G$7,MATCH(A411,Lists!$F$2:$F$7,0)),"?"))</f>
        <v/>
      </c>
      <c r="C411" s="4" t="n"/>
      <c r="D411" s="4" t="n"/>
      <c r="E411" s="4" t="n"/>
      <c r="F411" s="11" t="n"/>
      <c r="G411" s="4" t="n"/>
      <c r="H411" s="11" t="n"/>
      <c r="I411" s="11" t="n"/>
      <c r="J411" s="9">
        <f>IF(OR(F411="",H411=""),"",IF(F411&gt;H411,E411,IF(H411&gt;F411,G411,"")))</f>
        <v/>
      </c>
      <c r="K411" s="4" t="n"/>
      <c r="L411" s="9">
        <f>IF(COUNTA(A411,C411,D411,E411,F411,G411,H411,I411)=0,"",IF(OR(A411="",C411="",E411="",G411=""),"Missing week/class/team",IF(AND(D411="",I411&lt;&gt;"Y"),"No chapter (forfeit?)",IF(AND(D411&lt;&gt;"",I411="Y"),"Forfeit has a chapter",IF(OR(F411="",H411=""),"Missing score",IF(F411=H411,"Tie score",IF(COUNTIFS($A$2:$A$801,A411,$E$2:$E$801,E411)+COUNTIFS($A$2:$A$801,A411,$G$2:$G$801,E411)&gt;1,"Team 1 listed twice this week",IF(COUNTIFS($A$2:$A$801,A411,$E$2:$E$801,G411)+COUNTIFS($A$2:$A$801,A411,$G$2:$G$801,G411)&gt;1,"Team 2 listed twice this week",""))))))))</f>
        <v/>
      </c>
    </row>
    <row r="412">
      <c r="A412" s="11" t="n"/>
      <c r="B412" s="9">
        <f>IF(A412="","",IFERROR(INDEX(Lists!$G$2:$G$7,MATCH(A412,Lists!$F$2:$F$7,0)),"?"))</f>
        <v/>
      </c>
      <c r="C412" s="4" t="n"/>
      <c r="D412" s="4" t="n"/>
      <c r="E412" s="4" t="n"/>
      <c r="F412" s="11" t="n"/>
      <c r="G412" s="4" t="n"/>
      <c r="H412" s="11" t="n"/>
      <c r="I412" s="11" t="n"/>
      <c r="J412" s="9">
        <f>IF(OR(F412="",H412=""),"",IF(F412&gt;H412,E412,IF(H412&gt;F412,G412,"")))</f>
        <v/>
      </c>
      <c r="K412" s="4" t="n"/>
      <c r="L412" s="9">
        <f>IF(COUNTA(A412,C412,D412,E412,F412,G412,H412,I412)=0,"",IF(OR(A412="",C412="",E412="",G412=""),"Missing week/class/team",IF(AND(D412="",I412&lt;&gt;"Y"),"No chapter (forfeit?)",IF(AND(D412&lt;&gt;"",I412="Y"),"Forfeit has a chapter",IF(OR(F412="",H412=""),"Missing score",IF(F412=H412,"Tie score",IF(COUNTIFS($A$2:$A$801,A412,$E$2:$E$801,E412)+COUNTIFS($A$2:$A$801,A412,$G$2:$G$801,E412)&gt;1,"Team 1 listed twice this week",IF(COUNTIFS($A$2:$A$801,A412,$E$2:$E$801,G412)+COUNTIFS($A$2:$A$801,A412,$G$2:$G$801,G412)&gt;1,"Team 2 listed twice this week",""))))))))</f>
        <v/>
      </c>
    </row>
    <row r="413">
      <c r="A413" s="11" t="n"/>
      <c r="B413" s="9">
        <f>IF(A413="","",IFERROR(INDEX(Lists!$G$2:$G$7,MATCH(A413,Lists!$F$2:$F$7,0)),"?"))</f>
        <v/>
      </c>
      <c r="C413" s="4" t="n"/>
      <c r="D413" s="4" t="n"/>
      <c r="E413" s="4" t="n"/>
      <c r="F413" s="11" t="n"/>
      <c r="G413" s="4" t="n"/>
      <c r="H413" s="11" t="n"/>
      <c r="I413" s="11" t="n"/>
      <c r="J413" s="9">
        <f>IF(OR(F413="",H413=""),"",IF(F413&gt;H413,E413,IF(H413&gt;F413,G413,"")))</f>
        <v/>
      </c>
      <c r="K413" s="4" t="n"/>
      <c r="L413" s="9">
        <f>IF(COUNTA(A413,C413,D413,E413,F413,G413,H413,I413)=0,"",IF(OR(A413="",C413="",E413="",G413=""),"Missing week/class/team",IF(AND(D413="",I413&lt;&gt;"Y"),"No chapter (forfeit?)",IF(AND(D413&lt;&gt;"",I413="Y"),"Forfeit has a chapter",IF(OR(F413="",H413=""),"Missing score",IF(F413=H413,"Tie score",IF(COUNTIFS($A$2:$A$801,A413,$E$2:$E$801,E413)+COUNTIFS($A$2:$A$801,A413,$G$2:$G$801,E413)&gt;1,"Team 1 listed twice this week",IF(COUNTIFS($A$2:$A$801,A413,$E$2:$E$801,G413)+COUNTIFS($A$2:$A$801,A413,$G$2:$G$801,G413)&gt;1,"Team 2 listed twice this week",""))))))))</f>
        <v/>
      </c>
    </row>
    <row r="414">
      <c r="A414" s="11" t="n"/>
      <c r="B414" s="9">
        <f>IF(A414="","",IFERROR(INDEX(Lists!$G$2:$G$7,MATCH(A414,Lists!$F$2:$F$7,0)),"?"))</f>
        <v/>
      </c>
      <c r="C414" s="4" t="n"/>
      <c r="D414" s="4" t="n"/>
      <c r="E414" s="4" t="n"/>
      <c r="F414" s="11" t="n"/>
      <c r="G414" s="4" t="n"/>
      <c r="H414" s="11" t="n"/>
      <c r="I414" s="11" t="n"/>
      <c r="J414" s="9">
        <f>IF(OR(F414="",H414=""),"",IF(F414&gt;H414,E414,IF(H414&gt;F414,G414,"")))</f>
        <v/>
      </c>
      <c r="K414" s="4" t="n"/>
      <c r="L414" s="9">
        <f>IF(COUNTA(A414,C414,D414,E414,F414,G414,H414,I414)=0,"",IF(OR(A414="",C414="",E414="",G414=""),"Missing week/class/team",IF(AND(D414="",I414&lt;&gt;"Y"),"No chapter (forfeit?)",IF(AND(D414&lt;&gt;"",I414="Y"),"Forfeit has a chapter",IF(OR(F414="",H414=""),"Missing score",IF(F414=H414,"Tie score",IF(COUNTIFS($A$2:$A$801,A414,$E$2:$E$801,E414)+COUNTIFS($A$2:$A$801,A414,$G$2:$G$801,E414)&gt;1,"Team 1 listed twice this week",IF(COUNTIFS($A$2:$A$801,A414,$E$2:$E$801,G414)+COUNTIFS($A$2:$A$801,A414,$G$2:$G$801,G414)&gt;1,"Team 2 listed twice this week",""))))))))</f>
        <v/>
      </c>
    </row>
    <row r="415">
      <c r="A415" s="11" t="n"/>
      <c r="B415" s="9">
        <f>IF(A415="","",IFERROR(INDEX(Lists!$G$2:$G$7,MATCH(A415,Lists!$F$2:$F$7,0)),"?"))</f>
        <v/>
      </c>
      <c r="C415" s="4" t="n"/>
      <c r="D415" s="4" t="n"/>
      <c r="E415" s="4" t="n"/>
      <c r="F415" s="11" t="n"/>
      <c r="G415" s="4" t="n"/>
      <c r="H415" s="11" t="n"/>
      <c r="I415" s="11" t="n"/>
      <c r="J415" s="9">
        <f>IF(OR(F415="",H415=""),"",IF(F415&gt;H415,E415,IF(H415&gt;F415,G415,"")))</f>
        <v/>
      </c>
      <c r="K415" s="4" t="n"/>
      <c r="L415" s="9">
        <f>IF(COUNTA(A415,C415,D415,E415,F415,G415,H415,I415)=0,"",IF(OR(A415="",C415="",E415="",G415=""),"Missing week/class/team",IF(AND(D415="",I415&lt;&gt;"Y"),"No chapter (forfeit?)",IF(AND(D415&lt;&gt;"",I415="Y"),"Forfeit has a chapter",IF(OR(F415="",H415=""),"Missing score",IF(F415=H415,"Tie score",IF(COUNTIFS($A$2:$A$801,A415,$E$2:$E$801,E415)+COUNTIFS($A$2:$A$801,A415,$G$2:$G$801,E415)&gt;1,"Team 1 listed twice this week",IF(COUNTIFS($A$2:$A$801,A415,$E$2:$E$801,G415)+COUNTIFS($A$2:$A$801,A415,$G$2:$G$801,G415)&gt;1,"Team 2 listed twice this week",""))))))))</f>
        <v/>
      </c>
    </row>
    <row r="416">
      <c r="A416" s="11" t="n"/>
      <c r="B416" s="9">
        <f>IF(A416="","",IFERROR(INDEX(Lists!$G$2:$G$7,MATCH(A416,Lists!$F$2:$F$7,0)),"?"))</f>
        <v/>
      </c>
      <c r="C416" s="4" t="n"/>
      <c r="D416" s="4" t="n"/>
      <c r="E416" s="4" t="n"/>
      <c r="F416" s="11" t="n"/>
      <c r="G416" s="4" t="n"/>
      <c r="H416" s="11" t="n"/>
      <c r="I416" s="11" t="n"/>
      <c r="J416" s="9">
        <f>IF(OR(F416="",H416=""),"",IF(F416&gt;H416,E416,IF(H416&gt;F416,G416,"")))</f>
        <v/>
      </c>
      <c r="K416" s="4" t="n"/>
      <c r="L416" s="9">
        <f>IF(COUNTA(A416,C416,D416,E416,F416,G416,H416,I416)=0,"",IF(OR(A416="",C416="",E416="",G416=""),"Missing week/class/team",IF(AND(D416="",I416&lt;&gt;"Y"),"No chapter (forfeit?)",IF(AND(D416&lt;&gt;"",I416="Y"),"Forfeit has a chapter",IF(OR(F416="",H416=""),"Missing score",IF(F416=H416,"Tie score",IF(COUNTIFS($A$2:$A$801,A416,$E$2:$E$801,E416)+COUNTIFS($A$2:$A$801,A416,$G$2:$G$801,E416)&gt;1,"Team 1 listed twice this week",IF(COUNTIFS($A$2:$A$801,A416,$E$2:$E$801,G416)+COUNTIFS($A$2:$A$801,A416,$G$2:$G$801,G416)&gt;1,"Team 2 listed twice this week",""))))))))</f>
        <v/>
      </c>
    </row>
    <row r="417">
      <c r="A417" s="11" t="n"/>
      <c r="B417" s="9">
        <f>IF(A417="","",IFERROR(INDEX(Lists!$G$2:$G$7,MATCH(A417,Lists!$F$2:$F$7,0)),"?"))</f>
        <v/>
      </c>
      <c r="C417" s="4" t="n"/>
      <c r="D417" s="4" t="n"/>
      <c r="E417" s="4" t="n"/>
      <c r="F417" s="11" t="n"/>
      <c r="G417" s="4" t="n"/>
      <c r="H417" s="11" t="n"/>
      <c r="I417" s="11" t="n"/>
      <c r="J417" s="9">
        <f>IF(OR(F417="",H417=""),"",IF(F417&gt;H417,E417,IF(H417&gt;F417,G417,"")))</f>
        <v/>
      </c>
      <c r="K417" s="4" t="n"/>
      <c r="L417" s="9">
        <f>IF(COUNTA(A417,C417,D417,E417,F417,G417,H417,I417)=0,"",IF(OR(A417="",C417="",E417="",G417=""),"Missing week/class/team",IF(AND(D417="",I417&lt;&gt;"Y"),"No chapter (forfeit?)",IF(AND(D417&lt;&gt;"",I417="Y"),"Forfeit has a chapter",IF(OR(F417="",H417=""),"Missing score",IF(F417=H417,"Tie score",IF(COUNTIFS($A$2:$A$801,A417,$E$2:$E$801,E417)+COUNTIFS($A$2:$A$801,A417,$G$2:$G$801,E417)&gt;1,"Team 1 listed twice this week",IF(COUNTIFS($A$2:$A$801,A417,$E$2:$E$801,G417)+COUNTIFS($A$2:$A$801,A417,$G$2:$G$801,G417)&gt;1,"Team 2 listed twice this week",""))))))))</f>
        <v/>
      </c>
    </row>
    <row r="418">
      <c r="A418" s="11" t="n"/>
      <c r="B418" s="9">
        <f>IF(A418="","",IFERROR(INDEX(Lists!$G$2:$G$7,MATCH(A418,Lists!$F$2:$F$7,0)),"?"))</f>
        <v/>
      </c>
      <c r="C418" s="4" t="n"/>
      <c r="D418" s="4" t="n"/>
      <c r="E418" s="4" t="n"/>
      <c r="F418" s="11" t="n"/>
      <c r="G418" s="4" t="n"/>
      <c r="H418" s="11" t="n"/>
      <c r="I418" s="11" t="n"/>
      <c r="J418" s="9">
        <f>IF(OR(F418="",H418=""),"",IF(F418&gt;H418,E418,IF(H418&gt;F418,G418,"")))</f>
        <v/>
      </c>
      <c r="K418" s="4" t="n"/>
      <c r="L418" s="9">
        <f>IF(COUNTA(A418,C418,D418,E418,F418,G418,H418,I418)=0,"",IF(OR(A418="",C418="",E418="",G418=""),"Missing week/class/team",IF(AND(D418="",I418&lt;&gt;"Y"),"No chapter (forfeit?)",IF(AND(D418&lt;&gt;"",I418="Y"),"Forfeit has a chapter",IF(OR(F418="",H418=""),"Missing score",IF(F418=H418,"Tie score",IF(COUNTIFS($A$2:$A$801,A418,$E$2:$E$801,E418)+COUNTIFS($A$2:$A$801,A418,$G$2:$G$801,E418)&gt;1,"Team 1 listed twice this week",IF(COUNTIFS($A$2:$A$801,A418,$E$2:$E$801,G418)+COUNTIFS($A$2:$A$801,A418,$G$2:$G$801,G418)&gt;1,"Team 2 listed twice this week",""))))))))</f>
        <v/>
      </c>
    </row>
    <row r="419">
      <c r="A419" s="11" t="n"/>
      <c r="B419" s="9">
        <f>IF(A419="","",IFERROR(INDEX(Lists!$G$2:$G$7,MATCH(A419,Lists!$F$2:$F$7,0)),"?"))</f>
        <v/>
      </c>
      <c r="C419" s="4" t="n"/>
      <c r="D419" s="4" t="n"/>
      <c r="E419" s="4" t="n"/>
      <c r="F419" s="11" t="n"/>
      <c r="G419" s="4" t="n"/>
      <c r="H419" s="11" t="n"/>
      <c r="I419" s="11" t="n"/>
      <c r="J419" s="9">
        <f>IF(OR(F419="",H419=""),"",IF(F419&gt;H419,E419,IF(H419&gt;F419,G419,"")))</f>
        <v/>
      </c>
      <c r="K419" s="4" t="n"/>
      <c r="L419" s="9">
        <f>IF(COUNTA(A419,C419,D419,E419,F419,G419,H419,I419)=0,"",IF(OR(A419="",C419="",E419="",G419=""),"Missing week/class/team",IF(AND(D419="",I419&lt;&gt;"Y"),"No chapter (forfeit?)",IF(AND(D419&lt;&gt;"",I419="Y"),"Forfeit has a chapter",IF(OR(F419="",H419=""),"Missing score",IF(F419=H419,"Tie score",IF(COUNTIFS($A$2:$A$801,A419,$E$2:$E$801,E419)+COUNTIFS($A$2:$A$801,A419,$G$2:$G$801,E419)&gt;1,"Team 1 listed twice this week",IF(COUNTIFS($A$2:$A$801,A419,$E$2:$E$801,G419)+COUNTIFS($A$2:$A$801,A419,$G$2:$G$801,G419)&gt;1,"Team 2 listed twice this week",""))))))))</f>
        <v/>
      </c>
    </row>
    <row r="420">
      <c r="A420" s="11" t="n"/>
      <c r="B420" s="9">
        <f>IF(A420="","",IFERROR(INDEX(Lists!$G$2:$G$7,MATCH(A420,Lists!$F$2:$F$7,0)),"?"))</f>
        <v/>
      </c>
      <c r="C420" s="4" t="n"/>
      <c r="D420" s="4" t="n"/>
      <c r="E420" s="4" t="n"/>
      <c r="F420" s="11" t="n"/>
      <c r="G420" s="4" t="n"/>
      <c r="H420" s="11" t="n"/>
      <c r="I420" s="11" t="n"/>
      <c r="J420" s="9">
        <f>IF(OR(F420="",H420=""),"",IF(F420&gt;H420,E420,IF(H420&gt;F420,G420,"")))</f>
        <v/>
      </c>
      <c r="K420" s="4" t="n"/>
      <c r="L420" s="9">
        <f>IF(COUNTA(A420,C420,D420,E420,F420,G420,H420,I420)=0,"",IF(OR(A420="",C420="",E420="",G420=""),"Missing week/class/team",IF(AND(D420="",I420&lt;&gt;"Y"),"No chapter (forfeit?)",IF(AND(D420&lt;&gt;"",I420="Y"),"Forfeit has a chapter",IF(OR(F420="",H420=""),"Missing score",IF(F420=H420,"Tie score",IF(COUNTIFS($A$2:$A$801,A420,$E$2:$E$801,E420)+COUNTIFS($A$2:$A$801,A420,$G$2:$G$801,E420)&gt;1,"Team 1 listed twice this week",IF(COUNTIFS($A$2:$A$801,A420,$E$2:$E$801,G420)+COUNTIFS($A$2:$A$801,A420,$G$2:$G$801,G420)&gt;1,"Team 2 listed twice this week",""))))))))</f>
        <v/>
      </c>
    </row>
    <row r="421">
      <c r="A421" s="11" t="n"/>
      <c r="B421" s="9">
        <f>IF(A421="","",IFERROR(INDEX(Lists!$G$2:$G$7,MATCH(A421,Lists!$F$2:$F$7,0)),"?"))</f>
        <v/>
      </c>
      <c r="C421" s="4" t="n"/>
      <c r="D421" s="4" t="n"/>
      <c r="E421" s="4" t="n"/>
      <c r="F421" s="11" t="n"/>
      <c r="G421" s="4" t="n"/>
      <c r="H421" s="11" t="n"/>
      <c r="I421" s="11" t="n"/>
      <c r="J421" s="9">
        <f>IF(OR(F421="",H421=""),"",IF(F421&gt;H421,E421,IF(H421&gt;F421,G421,"")))</f>
        <v/>
      </c>
      <c r="K421" s="4" t="n"/>
      <c r="L421" s="9">
        <f>IF(COUNTA(A421,C421,D421,E421,F421,G421,H421,I421)=0,"",IF(OR(A421="",C421="",E421="",G421=""),"Missing week/class/team",IF(AND(D421="",I421&lt;&gt;"Y"),"No chapter (forfeit?)",IF(AND(D421&lt;&gt;"",I421="Y"),"Forfeit has a chapter",IF(OR(F421="",H421=""),"Missing score",IF(F421=H421,"Tie score",IF(COUNTIFS($A$2:$A$801,A421,$E$2:$E$801,E421)+COUNTIFS($A$2:$A$801,A421,$G$2:$G$801,E421)&gt;1,"Team 1 listed twice this week",IF(COUNTIFS($A$2:$A$801,A421,$E$2:$E$801,G421)+COUNTIFS($A$2:$A$801,A421,$G$2:$G$801,G421)&gt;1,"Team 2 listed twice this week",""))))))))</f>
        <v/>
      </c>
    </row>
    <row r="422">
      <c r="A422" s="11" t="n"/>
      <c r="B422" s="9">
        <f>IF(A422="","",IFERROR(INDEX(Lists!$G$2:$G$7,MATCH(A422,Lists!$F$2:$F$7,0)),"?"))</f>
        <v/>
      </c>
      <c r="C422" s="4" t="n"/>
      <c r="D422" s="4" t="n"/>
      <c r="E422" s="4" t="n"/>
      <c r="F422" s="11" t="n"/>
      <c r="G422" s="4" t="n"/>
      <c r="H422" s="11" t="n"/>
      <c r="I422" s="11" t="n"/>
      <c r="J422" s="9">
        <f>IF(OR(F422="",H422=""),"",IF(F422&gt;H422,E422,IF(H422&gt;F422,G422,"")))</f>
        <v/>
      </c>
      <c r="K422" s="4" t="n"/>
      <c r="L422" s="9">
        <f>IF(COUNTA(A422,C422,D422,E422,F422,G422,H422,I422)=0,"",IF(OR(A422="",C422="",E422="",G422=""),"Missing week/class/team",IF(AND(D422="",I422&lt;&gt;"Y"),"No chapter (forfeit?)",IF(AND(D422&lt;&gt;"",I422="Y"),"Forfeit has a chapter",IF(OR(F422="",H422=""),"Missing score",IF(F422=H422,"Tie score",IF(COUNTIFS($A$2:$A$801,A422,$E$2:$E$801,E422)+COUNTIFS($A$2:$A$801,A422,$G$2:$G$801,E422)&gt;1,"Team 1 listed twice this week",IF(COUNTIFS($A$2:$A$801,A422,$E$2:$E$801,G422)+COUNTIFS($A$2:$A$801,A422,$G$2:$G$801,G422)&gt;1,"Team 2 listed twice this week",""))))))))</f>
        <v/>
      </c>
    </row>
    <row r="423">
      <c r="A423" s="11" t="n"/>
      <c r="B423" s="9">
        <f>IF(A423="","",IFERROR(INDEX(Lists!$G$2:$G$7,MATCH(A423,Lists!$F$2:$F$7,0)),"?"))</f>
        <v/>
      </c>
      <c r="C423" s="4" t="n"/>
      <c r="D423" s="4" t="n"/>
      <c r="E423" s="4" t="n"/>
      <c r="F423" s="11" t="n"/>
      <c r="G423" s="4" t="n"/>
      <c r="H423" s="11" t="n"/>
      <c r="I423" s="11" t="n"/>
      <c r="J423" s="9">
        <f>IF(OR(F423="",H423=""),"",IF(F423&gt;H423,E423,IF(H423&gt;F423,G423,"")))</f>
        <v/>
      </c>
      <c r="K423" s="4" t="n"/>
      <c r="L423" s="9">
        <f>IF(COUNTA(A423,C423,D423,E423,F423,G423,H423,I423)=0,"",IF(OR(A423="",C423="",E423="",G423=""),"Missing week/class/team",IF(AND(D423="",I423&lt;&gt;"Y"),"No chapter (forfeit?)",IF(AND(D423&lt;&gt;"",I423="Y"),"Forfeit has a chapter",IF(OR(F423="",H423=""),"Missing score",IF(F423=H423,"Tie score",IF(COUNTIFS($A$2:$A$801,A423,$E$2:$E$801,E423)+COUNTIFS($A$2:$A$801,A423,$G$2:$G$801,E423)&gt;1,"Team 1 listed twice this week",IF(COUNTIFS($A$2:$A$801,A423,$E$2:$E$801,G423)+COUNTIFS($A$2:$A$801,A423,$G$2:$G$801,G423)&gt;1,"Team 2 listed twice this week",""))))))))</f>
        <v/>
      </c>
    </row>
    <row r="424">
      <c r="A424" s="11" t="n"/>
      <c r="B424" s="9">
        <f>IF(A424="","",IFERROR(INDEX(Lists!$G$2:$G$7,MATCH(A424,Lists!$F$2:$F$7,0)),"?"))</f>
        <v/>
      </c>
      <c r="C424" s="4" t="n"/>
      <c r="D424" s="4" t="n"/>
      <c r="E424" s="4" t="n"/>
      <c r="F424" s="11" t="n"/>
      <c r="G424" s="4" t="n"/>
      <c r="H424" s="11" t="n"/>
      <c r="I424" s="11" t="n"/>
      <c r="J424" s="9">
        <f>IF(OR(F424="",H424=""),"",IF(F424&gt;H424,E424,IF(H424&gt;F424,G424,"")))</f>
        <v/>
      </c>
      <c r="K424" s="4" t="n"/>
      <c r="L424" s="9">
        <f>IF(COUNTA(A424,C424,D424,E424,F424,G424,H424,I424)=0,"",IF(OR(A424="",C424="",E424="",G424=""),"Missing week/class/team",IF(AND(D424="",I424&lt;&gt;"Y"),"No chapter (forfeit?)",IF(AND(D424&lt;&gt;"",I424="Y"),"Forfeit has a chapter",IF(OR(F424="",H424=""),"Missing score",IF(F424=H424,"Tie score",IF(COUNTIFS($A$2:$A$801,A424,$E$2:$E$801,E424)+COUNTIFS($A$2:$A$801,A424,$G$2:$G$801,E424)&gt;1,"Team 1 listed twice this week",IF(COUNTIFS($A$2:$A$801,A424,$E$2:$E$801,G424)+COUNTIFS($A$2:$A$801,A424,$G$2:$G$801,G424)&gt;1,"Team 2 listed twice this week",""))))))))</f>
        <v/>
      </c>
    </row>
    <row r="425">
      <c r="A425" s="11" t="n"/>
      <c r="B425" s="9">
        <f>IF(A425="","",IFERROR(INDEX(Lists!$G$2:$G$7,MATCH(A425,Lists!$F$2:$F$7,0)),"?"))</f>
        <v/>
      </c>
      <c r="C425" s="4" t="n"/>
      <c r="D425" s="4" t="n"/>
      <c r="E425" s="4" t="n"/>
      <c r="F425" s="11" t="n"/>
      <c r="G425" s="4" t="n"/>
      <c r="H425" s="11" t="n"/>
      <c r="I425" s="11" t="n"/>
      <c r="J425" s="9">
        <f>IF(OR(F425="",H425=""),"",IF(F425&gt;H425,E425,IF(H425&gt;F425,G425,"")))</f>
        <v/>
      </c>
      <c r="K425" s="4" t="n"/>
      <c r="L425" s="9">
        <f>IF(COUNTA(A425,C425,D425,E425,F425,G425,H425,I425)=0,"",IF(OR(A425="",C425="",E425="",G425=""),"Missing week/class/team",IF(AND(D425="",I425&lt;&gt;"Y"),"No chapter (forfeit?)",IF(AND(D425&lt;&gt;"",I425="Y"),"Forfeit has a chapter",IF(OR(F425="",H425=""),"Missing score",IF(F425=H425,"Tie score",IF(COUNTIFS($A$2:$A$801,A425,$E$2:$E$801,E425)+COUNTIFS($A$2:$A$801,A425,$G$2:$G$801,E425)&gt;1,"Team 1 listed twice this week",IF(COUNTIFS($A$2:$A$801,A425,$E$2:$E$801,G425)+COUNTIFS($A$2:$A$801,A425,$G$2:$G$801,G425)&gt;1,"Team 2 listed twice this week",""))))))))</f>
        <v/>
      </c>
    </row>
    <row r="426">
      <c r="A426" s="11" t="n"/>
      <c r="B426" s="9">
        <f>IF(A426="","",IFERROR(INDEX(Lists!$G$2:$G$7,MATCH(A426,Lists!$F$2:$F$7,0)),"?"))</f>
        <v/>
      </c>
      <c r="C426" s="4" t="n"/>
      <c r="D426" s="4" t="n"/>
      <c r="E426" s="4" t="n"/>
      <c r="F426" s="11" t="n"/>
      <c r="G426" s="4" t="n"/>
      <c r="H426" s="11" t="n"/>
      <c r="I426" s="11" t="n"/>
      <c r="J426" s="9">
        <f>IF(OR(F426="",H426=""),"",IF(F426&gt;H426,E426,IF(H426&gt;F426,G426,"")))</f>
        <v/>
      </c>
      <c r="K426" s="4" t="n"/>
      <c r="L426" s="9">
        <f>IF(COUNTA(A426,C426,D426,E426,F426,G426,H426,I426)=0,"",IF(OR(A426="",C426="",E426="",G426=""),"Missing week/class/team",IF(AND(D426="",I426&lt;&gt;"Y"),"No chapter (forfeit?)",IF(AND(D426&lt;&gt;"",I426="Y"),"Forfeit has a chapter",IF(OR(F426="",H426=""),"Missing score",IF(F426=H426,"Tie score",IF(COUNTIFS($A$2:$A$801,A426,$E$2:$E$801,E426)+COUNTIFS($A$2:$A$801,A426,$G$2:$G$801,E426)&gt;1,"Team 1 listed twice this week",IF(COUNTIFS($A$2:$A$801,A426,$E$2:$E$801,G426)+COUNTIFS($A$2:$A$801,A426,$G$2:$G$801,G426)&gt;1,"Team 2 listed twice this week",""))))))))</f>
        <v/>
      </c>
    </row>
    <row r="427">
      <c r="A427" s="11" t="n"/>
      <c r="B427" s="9">
        <f>IF(A427="","",IFERROR(INDEX(Lists!$G$2:$G$7,MATCH(A427,Lists!$F$2:$F$7,0)),"?"))</f>
        <v/>
      </c>
      <c r="C427" s="4" t="n"/>
      <c r="D427" s="4" t="n"/>
      <c r="E427" s="4" t="n"/>
      <c r="F427" s="11" t="n"/>
      <c r="G427" s="4" t="n"/>
      <c r="H427" s="11" t="n"/>
      <c r="I427" s="11" t="n"/>
      <c r="J427" s="9">
        <f>IF(OR(F427="",H427=""),"",IF(F427&gt;H427,E427,IF(H427&gt;F427,G427,"")))</f>
        <v/>
      </c>
      <c r="K427" s="4" t="n"/>
      <c r="L427" s="9">
        <f>IF(COUNTA(A427,C427,D427,E427,F427,G427,H427,I427)=0,"",IF(OR(A427="",C427="",E427="",G427=""),"Missing week/class/team",IF(AND(D427="",I427&lt;&gt;"Y"),"No chapter (forfeit?)",IF(AND(D427&lt;&gt;"",I427="Y"),"Forfeit has a chapter",IF(OR(F427="",H427=""),"Missing score",IF(F427=H427,"Tie score",IF(COUNTIFS($A$2:$A$801,A427,$E$2:$E$801,E427)+COUNTIFS($A$2:$A$801,A427,$G$2:$G$801,E427)&gt;1,"Team 1 listed twice this week",IF(COUNTIFS($A$2:$A$801,A427,$E$2:$E$801,G427)+COUNTIFS($A$2:$A$801,A427,$G$2:$G$801,G427)&gt;1,"Team 2 listed twice this week",""))))))))</f>
        <v/>
      </c>
    </row>
    <row r="428">
      <c r="A428" s="11" t="n"/>
      <c r="B428" s="9">
        <f>IF(A428="","",IFERROR(INDEX(Lists!$G$2:$G$7,MATCH(A428,Lists!$F$2:$F$7,0)),"?"))</f>
        <v/>
      </c>
      <c r="C428" s="4" t="n"/>
      <c r="D428" s="4" t="n"/>
      <c r="E428" s="4" t="n"/>
      <c r="F428" s="11" t="n"/>
      <c r="G428" s="4" t="n"/>
      <c r="H428" s="11" t="n"/>
      <c r="I428" s="11" t="n"/>
      <c r="J428" s="9">
        <f>IF(OR(F428="",H428=""),"",IF(F428&gt;H428,E428,IF(H428&gt;F428,G428,"")))</f>
        <v/>
      </c>
      <c r="K428" s="4" t="n"/>
      <c r="L428" s="9">
        <f>IF(COUNTA(A428,C428,D428,E428,F428,G428,H428,I428)=0,"",IF(OR(A428="",C428="",E428="",G428=""),"Missing week/class/team",IF(AND(D428="",I428&lt;&gt;"Y"),"No chapter (forfeit?)",IF(AND(D428&lt;&gt;"",I428="Y"),"Forfeit has a chapter",IF(OR(F428="",H428=""),"Missing score",IF(F428=H428,"Tie score",IF(COUNTIFS($A$2:$A$801,A428,$E$2:$E$801,E428)+COUNTIFS($A$2:$A$801,A428,$G$2:$G$801,E428)&gt;1,"Team 1 listed twice this week",IF(COUNTIFS($A$2:$A$801,A428,$E$2:$E$801,G428)+COUNTIFS($A$2:$A$801,A428,$G$2:$G$801,G428)&gt;1,"Team 2 listed twice this week",""))))))))</f>
        <v/>
      </c>
    </row>
    <row r="429">
      <c r="A429" s="11" t="n"/>
      <c r="B429" s="9">
        <f>IF(A429="","",IFERROR(INDEX(Lists!$G$2:$G$7,MATCH(A429,Lists!$F$2:$F$7,0)),"?"))</f>
        <v/>
      </c>
      <c r="C429" s="4" t="n"/>
      <c r="D429" s="4" t="n"/>
      <c r="E429" s="4" t="n"/>
      <c r="F429" s="11" t="n"/>
      <c r="G429" s="4" t="n"/>
      <c r="H429" s="11" t="n"/>
      <c r="I429" s="11" t="n"/>
      <c r="J429" s="9">
        <f>IF(OR(F429="",H429=""),"",IF(F429&gt;H429,E429,IF(H429&gt;F429,G429,"")))</f>
        <v/>
      </c>
      <c r="K429" s="4" t="n"/>
      <c r="L429" s="9">
        <f>IF(COUNTA(A429,C429,D429,E429,F429,G429,H429,I429)=0,"",IF(OR(A429="",C429="",E429="",G429=""),"Missing week/class/team",IF(AND(D429="",I429&lt;&gt;"Y"),"No chapter (forfeit?)",IF(AND(D429&lt;&gt;"",I429="Y"),"Forfeit has a chapter",IF(OR(F429="",H429=""),"Missing score",IF(F429=H429,"Tie score",IF(COUNTIFS($A$2:$A$801,A429,$E$2:$E$801,E429)+COUNTIFS($A$2:$A$801,A429,$G$2:$G$801,E429)&gt;1,"Team 1 listed twice this week",IF(COUNTIFS($A$2:$A$801,A429,$E$2:$E$801,G429)+COUNTIFS($A$2:$A$801,A429,$G$2:$G$801,G429)&gt;1,"Team 2 listed twice this week",""))))))))</f>
        <v/>
      </c>
    </row>
    <row r="430">
      <c r="A430" s="11" t="n"/>
      <c r="B430" s="9">
        <f>IF(A430="","",IFERROR(INDEX(Lists!$G$2:$G$7,MATCH(A430,Lists!$F$2:$F$7,0)),"?"))</f>
        <v/>
      </c>
      <c r="C430" s="4" t="n"/>
      <c r="D430" s="4" t="n"/>
      <c r="E430" s="4" t="n"/>
      <c r="F430" s="11" t="n"/>
      <c r="G430" s="4" t="n"/>
      <c r="H430" s="11" t="n"/>
      <c r="I430" s="11" t="n"/>
      <c r="J430" s="9">
        <f>IF(OR(F430="",H430=""),"",IF(F430&gt;H430,E430,IF(H430&gt;F430,G430,"")))</f>
        <v/>
      </c>
      <c r="K430" s="4" t="n"/>
      <c r="L430" s="9">
        <f>IF(COUNTA(A430,C430,D430,E430,F430,G430,H430,I430)=0,"",IF(OR(A430="",C430="",E430="",G430=""),"Missing week/class/team",IF(AND(D430="",I430&lt;&gt;"Y"),"No chapter (forfeit?)",IF(AND(D430&lt;&gt;"",I430="Y"),"Forfeit has a chapter",IF(OR(F430="",H430=""),"Missing score",IF(F430=H430,"Tie score",IF(COUNTIFS($A$2:$A$801,A430,$E$2:$E$801,E430)+COUNTIFS($A$2:$A$801,A430,$G$2:$G$801,E430)&gt;1,"Team 1 listed twice this week",IF(COUNTIFS($A$2:$A$801,A430,$E$2:$E$801,G430)+COUNTIFS($A$2:$A$801,A430,$G$2:$G$801,G430)&gt;1,"Team 2 listed twice this week",""))))))))</f>
        <v/>
      </c>
    </row>
    <row r="431">
      <c r="A431" s="11" t="n"/>
      <c r="B431" s="9">
        <f>IF(A431="","",IFERROR(INDEX(Lists!$G$2:$G$7,MATCH(A431,Lists!$F$2:$F$7,0)),"?"))</f>
        <v/>
      </c>
      <c r="C431" s="4" t="n"/>
      <c r="D431" s="4" t="n"/>
      <c r="E431" s="4" t="n"/>
      <c r="F431" s="11" t="n"/>
      <c r="G431" s="4" t="n"/>
      <c r="H431" s="11" t="n"/>
      <c r="I431" s="11" t="n"/>
      <c r="J431" s="9">
        <f>IF(OR(F431="",H431=""),"",IF(F431&gt;H431,E431,IF(H431&gt;F431,G431,"")))</f>
        <v/>
      </c>
      <c r="K431" s="4" t="n"/>
      <c r="L431" s="9">
        <f>IF(COUNTA(A431,C431,D431,E431,F431,G431,H431,I431)=0,"",IF(OR(A431="",C431="",E431="",G431=""),"Missing week/class/team",IF(AND(D431="",I431&lt;&gt;"Y"),"No chapter (forfeit?)",IF(AND(D431&lt;&gt;"",I431="Y"),"Forfeit has a chapter",IF(OR(F431="",H431=""),"Missing score",IF(F431=H431,"Tie score",IF(COUNTIFS($A$2:$A$801,A431,$E$2:$E$801,E431)+COUNTIFS($A$2:$A$801,A431,$G$2:$G$801,E431)&gt;1,"Team 1 listed twice this week",IF(COUNTIFS($A$2:$A$801,A431,$E$2:$E$801,G431)+COUNTIFS($A$2:$A$801,A431,$G$2:$G$801,G431)&gt;1,"Team 2 listed twice this week",""))))))))</f>
        <v/>
      </c>
    </row>
    <row r="432">
      <c r="A432" s="11" t="n"/>
      <c r="B432" s="9">
        <f>IF(A432="","",IFERROR(INDEX(Lists!$G$2:$G$7,MATCH(A432,Lists!$F$2:$F$7,0)),"?"))</f>
        <v/>
      </c>
      <c r="C432" s="4" t="n"/>
      <c r="D432" s="4" t="n"/>
      <c r="E432" s="4" t="n"/>
      <c r="F432" s="11" t="n"/>
      <c r="G432" s="4" t="n"/>
      <c r="H432" s="11" t="n"/>
      <c r="I432" s="11" t="n"/>
      <c r="J432" s="9">
        <f>IF(OR(F432="",H432=""),"",IF(F432&gt;H432,E432,IF(H432&gt;F432,G432,"")))</f>
        <v/>
      </c>
      <c r="K432" s="4" t="n"/>
      <c r="L432" s="9">
        <f>IF(COUNTA(A432,C432,D432,E432,F432,G432,H432,I432)=0,"",IF(OR(A432="",C432="",E432="",G432=""),"Missing week/class/team",IF(AND(D432="",I432&lt;&gt;"Y"),"No chapter (forfeit?)",IF(AND(D432&lt;&gt;"",I432="Y"),"Forfeit has a chapter",IF(OR(F432="",H432=""),"Missing score",IF(F432=H432,"Tie score",IF(COUNTIFS($A$2:$A$801,A432,$E$2:$E$801,E432)+COUNTIFS($A$2:$A$801,A432,$G$2:$G$801,E432)&gt;1,"Team 1 listed twice this week",IF(COUNTIFS($A$2:$A$801,A432,$E$2:$E$801,G432)+COUNTIFS($A$2:$A$801,A432,$G$2:$G$801,G432)&gt;1,"Team 2 listed twice this week",""))))))))</f>
        <v/>
      </c>
    </row>
    <row r="433">
      <c r="A433" s="11" t="n"/>
      <c r="B433" s="9">
        <f>IF(A433="","",IFERROR(INDEX(Lists!$G$2:$G$7,MATCH(A433,Lists!$F$2:$F$7,0)),"?"))</f>
        <v/>
      </c>
      <c r="C433" s="4" t="n"/>
      <c r="D433" s="4" t="n"/>
      <c r="E433" s="4" t="n"/>
      <c r="F433" s="11" t="n"/>
      <c r="G433" s="4" t="n"/>
      <c r="H433" s="11" t="n"/>
      <c r="I433" s="11" t="n"/>
      <c r="J433" s="9">
        <f>IF(OR(F433="",H433=""),"",IF(F433&gt;H433,E433,IF(H433&gt;F433,G433,"")))</f>
        <v/>
      </c>
      <c r="K433" s="4" t="n"/>
      <c r="L433" s="9">
        <f>IF(COUNTA(A433,C433,D433,E433,F433,G433,H433,I433)=0,"",IF(OR(A433="",C433="",E433="",G433=""),"Missing week/class/team",IF(AND(D433="",I433&lt;&gt;"Y"),"No chapter (forfeit?)",IF(AND(D433&lt;&gt;"",I433="Y"),"Forfeit has a chapter",IF(OR(F433="",H433=""),"Missing score",IF(F433=H433,"Tie score",IF(COUNTIFS($A$2:$A$801,A433,$E$2:$E$801,E433)+COUNTIFS($A$2:$A$801,A433,$G$2:$G$801,E433)&gt;1,"Team 1 listed twice this week",IF(COUNTIFS($A$2:$A$801,A433,$E$2:$E$801,G433)+COUNTIFS($A$2:$A$801,A433,$G$2:$G$801,G433)&gt;1,"Team 2 listed twice this week",""))))))))</f>
        <v/>
      </c>
    </row>
    <row r="434">
      <c r="A434" s="11" t="n"/>
      <c r="B434" s="9">
        <f>IF(A434="","",IFERROR(INDEX(Lists!$G$2:$G$7,MATCH(A434,Lists!$F$2:$F$7,0)),"?"))</f>
        <v/>
      </c>
      <c r="C434" s="4" t="n"/>
      <c r="D434" s="4" t="n"/>
      <c r="E434" s="4" t="n"/>
      <c r="F434" s="11" t="n"/>
      <c r="G434" s="4" t="n"/>
      <c r="H434" s="11" t="n"/>
      <c r="I434" s="11" t="n"/>
      <c r="J434" s="9">
        <f>IF(OR(F434="",H434=""),"",IF(F434&gt;H434,E434,IF(H434&gt;F434,G434,"")))</f>
        <v/>
      </c>
      <c r="K434" s="4" t="n"/>
      <c r="L434" s="9">
        <f>IF(COUNTA(A434,C434,D434,E434,F434,G434,H434,I434)=0,"",IF(OR(A434="",C434="",E434="",G434=""),"Missing week/class/team",IF(AND(D434="",I434&lt;&gt;"Y"),"No chapter (forfeit?)",IF(AND(D434&lt;&gt;"",I434="Y"),"Forfeit has a chapter",IF(OR(F434="",H434=""),"Missing score",IF(F434=H434,"Tie score",IF(COUNTIFS($A$2:$A$801,A434,$E$2:$E$801,E434)+COUNTIFS($A$2:$A$801,A434,$G$2:$G$801,E434)&gt;1,"Team 1 listed twice this week",IF(COUNTIFS($A$2:$A$801,A434,$E$2:$E$801,G434)+COUNTIFS($A$2:$A$801,A434,$G$2:$G$801,G434)&gt;1,"Team 2 listed twice this week",""))))))))</f>
        <v/>
      </c>
    </row>
    <row r="435">
      <c r="A435" s="11" t="n"/>
      <c r="B435" s="9">
        <f>IF(A435="","",IFERROR(INDEX(Lists!$G$2:$G$7,MATCH(A435,Lists!$F$2:$F$7,0)),"?"))</f>
        <v/>
      </c>
      <c r="C435" s="4" t="n"/>
      <c r="D435" s="4" t="n"/>
      <c r="E435" s="4" t="n"/>
      <c r="F435" s="11" t="n"/>
      <c r="G435" s="4" t="n"/>
      <c r="H435" s="11" t="n"/>
      <c r="I435" s="11" t="n"/>
      <c r="J435" s="9">
        <f>IF(OR(F435="",H435=""),"",IF(F435&gt;H435,E435,IF(H435&gt;F435,G435,"")))</f>
        <v/>
      </c>
      <c r="K435" s="4" t="n"/>
      <c r="L435" s="9">
        <f>IF(COUNTA(A435,C435,D435,E435,F435,G435,H435,I435)=0,"",IF(OR(A435="",C435="",E435="",G435=""),"Missing week/class/team",IF(AND(D435="",I435&lt;&gt;"Y"),"No chapter (forfeit?)",IF(AND(D435&lt;&gt;"",I435="Y"),"Forfeit has a chapter",IF(OR(F435="",H435=""),"Missing score",IF(F435=H435,"Tie score",IF(COUNTIFS($A$2:$A$801,A435,$E$2:$E$801,E435)+COUNTIFS($A$2:$A$801,A435,$G$2:$G$801,E435)&gt;1,"Team 1 listed twice this week",IF(COUNTIFS($A$2:$A$801,A435,$E$2:$E$801,G435)+COUNTIFS($A$2:$A$801,A435,$G$2:$G$801,G435)&gt;1,"Team 2 listed twice this week",""))))))))</f>
        <v/>
      </c>
    </row>
    <row r="436">
      <c r="A436" s="11" t="n"/>
      <c r="B436" s="9">
        <f>IF(A436="","",IFERROR(INDEX(Lists!$G$2:$G$7,MATCH(A436,Lists!$F$2:$F$7,0)),"?"))</f>
        <v/>
      </c>
      <c r="C436" s="4" t="n"/>
      <c r="D436" s="4" t="n"/>
      <c r="E436" s="4" t="n"/>
      <c r="F436" s="11" t="n"/>
      <c r="G436" s="4" t="n"/>
      <c r="H436" s="11" t="n"/>
      <c r="I436" s="11" t="n"/>
      <c r="J436" s="9">
        <f>IF(OR(F436="",H436=""),"",IF(F436&gt;H436,E436,IF(H436&gt;F436,G436,"")))</f>
        <v/>
      </c>
      <c r="K436" s="4" t="n"/>
      <c r="L436" s="9">
        <f>IF(COUNTA(A436,C436,D436,E436,F436,G436,H436,I436)=0,"",IF(OR(A436="",C436="",E436="",G436=""),"Missing week/class/team",IF(AND(D436="",I436&lt;&gt;"Y"),"No chapter (forfeit?)",IF(AND(D436&lt;&gt;"",I436="Y"),"Forfeit has a chapter",IF(OR(F436="",H436=""),"Missing score",IF(F436=H436,"Tie score",IF(COUNTIFS($A$2:$A$801,A436,$E$2:$E$801,E436)+COUNTIFS($A$2:$A$801,A436,$G$2:$G$801,E436)&gt;1,"Team 1 listed twice this week",IF(COUNTIFS($A$2:$A$801,A436,$E$2:$E$801,G436)+COUNTIFS($A$2:$A$801,A436,$G$2:$G$801,G436)&gt;1,"Team 2 listed twice this week",""))))))))</f>
        <v/>
      </c>
    </row>
    <row r="437">
      <c r="A437" s="11" t="n"/>
      <c r="B437" s="9">
        <f>IF(A437="","",IFERROR(INDEX(Lists!$G$2:$G$7,MATCH(A437,Lists!$F$2:$F$7,0)),"?"))</f>
        <v/>
      </c>
      <c r="C437" s="4" t="n"/>
      <c r="D437" s="4" t="n"/>
      <c r="E437" s="4" t="n"/>
      <c r="F437" s="11" t="n"/>
      <c r="G437" s="4" t="n"/>
      <c r="H437" s="11" t="n"/>
      <c r="I437" s="11" t="n"/>
      <c r="J437" s="9">
        <f>IF(OR(F437="",H437=""),"",IF(F437&gt;H437,E437,IF(H437&gt;F437,G437,"")))</f>
        <v/>
      </c>
      <c r="K437" s="4" t="n"/>
      <c r="L437" s="9">
        <f>IF(COUNTA(A437,C437,D437,E437,F437,G437,H437,I437)=0,"",IF(OR(A437="",C437="",E437="",G437=""),"Missing week/class/team",IF(AND(D437="",I437&lt;&gt;"Y"),"No chapter (forfeit?)",IF(AND(D437&lt;&gt;"",I437="Y"),"Forfeit has a chapter",IF(OR(F437="",H437=""),"Missing score",IF(F437=H437,"Tie score",IF(COUNTIFS($A$2:$A$801,A437,$E$2:$E$801,E437)+COUNTIFS($A$2:$A$801,A437,$G$2:$G$801,E437)&gt;1,"Team 1 listed twice this week",IF(COUNTIFS($A$2:$A$801,A437,$E$2:$E$801,G437)+COUNTIFS($A$2:$A$801,A437,$G$2:$G$801,G437)&gt;1,"Team 2 listed twice this week",""))))))))</f>
        <v/>
      </c>
    </row>
    <row r="438">
      <c r="A438" s="11" t="n"/>
      <c r="B438" s="9">
        <f>IF(A438="","",IFERROR(INDEX(Lists!$G$2:$G$7,MATCH(A438,Lists!$F$2:$F$7,0)),"?"))</f>
        <v/>
      </c>
      <c r="C438" s="4" t="n"/>
      <c r="D438" s="4" t="n"/>
      <c r="E438" s="4" t="n"/>
      <c r="F438" s="11" t="n"/>
      <c r="G438" s="4" t="n"/>
      <c r="H438" s="11" t="n"/>
      <c r="I438" s="11" t="n"/>
      <c r="J438" s="9">
        <f>IF(OR(F438="",H438=""),"",IF(F438&gt;H438,E438,IF(H438&gt;F438,G438,"")))</f>
        <v/>
      </c>
      <c r="K438" s="4" t="n"/>
      <c r="L438" s="9">
        <f>IF(COUNTA(A438,C438,D438,E438,F438,G438,H438,I438)=0,"",IF(OR(A438="",C438="",E438="",G438=""),"Missing week/class/team",IF(AND(D438="",I438&lt;&gt;"Y"),"No chapter (forfeit?)",IF(AND(D438&lt;&gt;"",I438="Y"),"Forfeit has a chapter",IF(OR(F438="",H438=""),"Missing score",IF(F438=H438,"Tie score",IF(COUNTIFS($A$2:$A$801,A438,$E$2:$E$801,E438)+COUNTIFS($A$2:$A$801,A438,$G$2:$G$801,E438)&gt;1,"Team 1 listed twice this week",IF(COUNTIFS($A$2:$A$801,A438,$E$2:$E$801,G438)+COUNTIFS($A$2:$A$801,A438,$G$2:$G$801,G438)&gt;1,"Team 2 listed twice this week",""))))))))</f>
        <v/>
      </c>
    </row>
    <row r="439">
      <c r="A439" s="11" t="n"/>
      <c r="B439" s="9">
        <f>IF(A439="","",IFERROR(INDEX(Lists!$G$2:$G$7,MATCH(A439,Lists!$F$2:$F$7,0)),"?"))</f>
        <v/>
      </c>
      <c r="C439" s="4" t="n"/>
      <c r="D439" s="4" t="n"/>
      <c r="E439" s="4" t="n"/>
      <c r="F439" s="11" t="n"/>
      <c r="G439" s="4" t="n"/>
      <c r="H439" s="11" t="n"/>
      <c r="I439" s="11" t="n"/>
      <c r="J439" s="9">
        <f>IF(OR(F439="",H439=""),"",IF(F439&gt;H439,E439,IF(H439&gt;F439,G439,"")))</f>
        <v/>
      </c>
      <c r="K439" s="4" t="n"/>
      <c r="L439" s="9">
        <f>IF(COUNTA(A439,C439,D439,E439,F439,G439,H439,I439)=0,"",IF(OR(A439="",C439="",E439="",G439=""),"Missing week/class/team",IF(AND(D439="",I439&lt;&gt;"Y"),"No chapter (forfeit?)",IF(AND(D439&lt;&gt;"",I439="Y"),"Forfeit has a chapter",IF(OR(F439="",H439=""),"Missing score",IF(F439=H439,"Tie score",IF(COUNTIFS($A$2:$A$801,A439,$E$2:$E$801,E439)+COUNTIFS($A$2:$A$801,A439,$G$2:$G$801,E439)&gt;1,"Team 1 listed twice this week",IF(COUNTIFS($A$2:$A$801,A439,$E$2:$E$801,G439)+COUNTIFS($A$2:$A$801,A439,$G$2:$G$801,G439)&gt;1,"Team 2 listed twice this week",""))))))))</f>
        <v/>
      </c>
    </row>
    <row r="440">
      <c r="A440" s="11" t="n"/>
      <c r="B440" s="9">
        <f>IF(A440="","",IFERROR(INDEX(Lists!$G$2:$G$7,MATCH(A440,Lists!$F$2:$F$7,0)),"?"))</f>
        <v/>
      </c>
      <c r="C440" s="4" t="n"/>
      <c r="D440" s="4" t="n"/>
      <c r="E440" s="4" t="n"/>
      <c r="F440" s="11" t="n"/>
      <c r="G440" s="4" t="n"/>
      <c r="H440" s="11" t="n"/>
      <c r="I440" s="11" t="n"/>
      <c r="J440" s="9">
        <f>IF(OR(F440="",H440=""),"",IF(F440&gt;H440,E440,IF(H440&gt;F440,G440,"")))</f>
        <v/>
      </c>
      <c r="K440" s="4" t="n"/>
      <c r="L440" s="9">
        <f>IF(COUNTA(A440,C440,D440,E440,F440,G440,H440,I440)=0,"",IF(OR(A440="",C440="",E440="",G440=""),"Missing week/class/team",IF(AND(D440="",I440&lt;&gt;"Y"),"No chapter (forfeit?)",IF(AND(D440&lt;&gt;"",I440="Y"),"Forfeit has a chapter",IF(OR(F440="",H440=""),"Missing score",IF(F440=H440,"Tie score",IF(COUNTIFS($A$2:$A$801,A440,$E$2:$E$801,E440)+COUNTIFS($A$2:$A$801,A440,$G$2:$G$801,E440)&gt;1,"Team 1 listed twice this week",IF(COUNTIFS($A$2:$A$801,A440,$E$2:$E$801,G440)+COUNTIFS($A$2:$A$801,A440,$G$2:$G$801,G440)&gt;1,"Team 2 listed twice this week",""))))))))</f>
        <v/>
      </c>
    </row>
    <row r="441">
      <c r="A441" s="11" t="n"/>
      <c r="B441" s="9">
        <f>IF(A441="","",IFERROR(INDEX(Lists!$G$2:$G$7,MATCH(A441,Lists!$F$2:$F$7,0)),"?"))</f>
        <v/>
      </c>
      <c r="C441" s="4" t="n"/>
      <c r="D441" s="4" t="n"/>
      <c r="E441" s="4" t="n"/>
      <c r="F441" s="11" t="n"/>
      <c r="G441" s="4" t="n"/>
      <c r="H441" s="11" t="n"/>
      <c r="I441" s="11" t="n"/>
      <c r="J441" s="9">
        <f>IF(OR(F441="",H441=""),"",IF(F441&gt;H441,E441,IF(H441&gt;F441,G441,"")))</f>
        <v/>
      </c>
      <c r="K441" s="4" t="n"/>
      <c r="L441" s="9">
        <f>IF(COUNTA(A441,C441,D441,E441,F441,G441,H441,I441)=0,"",IF(OR(A441="",C441="",E441="",G441=""),"Missing week/class/team",IF(AND(D441="",I441&lt;&gt;"Y"),"No chapter (forfeit?)",IF(AND(D441&lt;&gt;"",I441="Y"),"Forfeit has a chapter",IF(OR(F441="",H441=""),"Missing score",IF(F441=H441,"Tie score",IF(COUNTIFS($A$2:$A$801,A441,$E$2:$E$801,E441)+COUNTIFS($A$2:$A$801,A441,$G$2:$G$801,E441)&gt;1,"Team 1 listed twice this week",IF(COUNTIFS($A$2:$A$801,A441,$E$2:$E$801,G441)+COUNTIFS($A$2:$A$801,A441,$G$2:$G$801,G441)&gt;1,"Team 2 listed twice this week",""))))))))</f>
        <v/>
      </c>
    </row>
    <row r="442">
      <c r="A442" s="11" t="n"/>
      <c r="B442" s="9">
        <f>IF(A442="","",IFERROR(INDEX(Lists!$G$2:$G$7,MATCH(A442,Lists!$F$2:$F$7,0)),"?"))</f>
        <v/>
      </c>
      <c r="C442" s="4" t="n"/>
      <c r="D442" s="4" t="n"/>
      <c r="E442" s="4" t="n"/>
      <c r="F442" s="11" t="n"/>
      <c r="G442" s="4" t="n"/>
      <c r="H442" s="11" t="n"/>
      <c r="I442" s="11" t="n"/>
      <c r="J442" s="9">
        <f>IF(OR(F442="",H442=""),"",IF(F442&gt;H442,E442,IF(H442&gt;F442,G442,"")))</f>
        <v/>
      </c>
      <c r="K442" s="4" t="n"/>
      <c r="L442" s="9">
        <f>IF(COUNTA(A442,C442,D442,E442,F442,G442,H442,I442)=0,"",IF(OR(A442="",C442="",E442="",G442=""),"Missing week/class/team",IF(AND(D442="",I442&lt;&gt;"Y"),"No chapter (forfeit?)",IF(AND(D442&lt;&gt;"",I442="Y"),"Forfeit has a chapter",IF(OR(F442="",H442=""),"Missing score",IF(F442=H442,"Tie score",IF(COUNTIFS($A$2:$A$801,A442,$E$2:$E$801,E442)+COUNTIFS($A$2:$A$801,A442,$G$2:$G$801,E442)&gt;1,"Team 1 listed twice this week",IF(COUNTIFS($A$2:$A$801,A442,$E$2:$E$801,G442)+COUNTIFS($A$2:$A$801,A442,$G$2:$G$801,G442)&gt;1,"Team 2 listed twice this week",""))))))))</f>
        <v/>
      </c>
    </row>
    <row r="443">
      <c r="A443" s="11" t="n"/>
      <c r="B443" s="9">
        <f>IF(A443="","",IFERROR(INDEX(Lists!$G$2:$G$7,MATCH(A443,Lists!$F$2:$F$7,0)),"?"))</f>
        <v/>
      </c>
      <c r="C443" s="4" t="n"/>
      <c r="D443" s="4" t="n"/>
      <c r="E443" s="4" t="n"/>
      <c r="F443" s="11" t="n"/>
      <c r="G443" s="4" t="n"/>
      <c r="H443" s="11" t="n"/>
      <c r="I443" s="11" t="n"/>
      <c r="J443" s="9">
        <f>IF(OR(F443="",H443=""),"",IF(F443&gt;H443,E443,IF(H443&gt;F443,G443,"")))</f>
        <v/>
      </c>
      <c r="K443" s="4" t="n"/>
      <c r="L443" s="9">
        <f>IF(COUNTA(A443,C443,D443,E443,F443,G443,H443,I443)=0,"",IF(OR(A443="",C443="",E443="",G443=""),"Missing week/class/team",IF(AND(D443="",I443&lt;&gt;"Y"),"No chapter (forfeit?)",IF(AND(D443&lt;&gt;"",I443="Y"),"Forfeit has a chapter",IF(OR(F443="",H443=""),"Missing score",IF(F443=H443,"Tie score",IF(COUNTIFS($A$2:$A$801,A443,$E$2:$E$801,E443)+COUNTIFS($A$2:$A$801,A443,$G$2:$G$801,E443)&gt;1,"Team 1 listed twice this week",IF(COUNTIFS($A$2:$A$801,A443,$E$2:$E$801,G443)+COUNTIFS($A$2:$A$801,A443,$G$2:$G$801,G443)&gt;1,"Team 2 listed twice this week",""))))))))</f>
        <v/>
      </c>
    </row>
    <row r="444">
      <c r="A444" s="11" t="n"/>
      <c r="B444" s="9">
        <f>IF(A444="","",IFERROR(INDEX(Lists!$G$2:$G$7,MATCH(A444,Lists!$F$2:$F$7,0)),"?"))</f>
        <v/>
      </c>
      <c r="C444" s="4" t="n"/>
      <c r="D444" s="4" t="n"/>
      <c r="E444" s="4" t="n"/>
      <c r="F444" s="11" t="n"/>
      <c r="G444" s="4" t="n"/>
      <c r="H444" s="11" t="n"/>
      <c r="I444" s="11" t="n"/>
      <c r="J444" s="9">
        <f>IF(OR(F444="",H444=""),"",IF(F444&gt;H444,E444,IF(H444&gt;F444,G444,"")))</f>
        <v/>
      </c>
      <c r="K444" s="4" t="n"/>
      <c r="L444" s="9">
        <f>IF(COUNTA(A444,C444,D444,E444,F444,G444,H444,I444)=0,"",IF(OR(A444="",C444="",E444="",G444=""),"Missing week/class/team",IF(AND(D444="",I444&lt;&gt;"Y"),"No chapter (forfeit?)",IF(AND(D444&lt;&gt;"",I444="Y"),"Forfeit has a chapter",IF(OR(F444="",H444=""),"Missing score",IF(F444=H444,"Tie score",IF(COUNTIFS($A$2:$A$801,A444,$E$2:$E$801,E444)+COUNTIFS($A$2:$A$801,A444,$G$2:$G$801,E444)&gt;1,"Team 1 listed twice this week",IF(COUNTIFS($A$2:$A$801,A444,$E$2:$E$801,G444)+COUNTIFS($A$2:$A$801,A444,$G$2:$G$801,G444)&gt;1,"Team 2 listed twice this week",""))))))))</f>
        <v/>
      </c>
    </row>
    <row r="445">
      <c r="A445" s="11" t="n"/>
      <c r="B445" s="9">
        <f>IF(A445="","",IFERROR(INDEX(Lists!$G$2:$G$7,MATCH(A445,Lists!$F$2:$F$7,0)),"?"))</f>
        <v/>
      </c>
      <c r="C445" s="4" t="n"/>
      <c r="D445" s="4" t="n"/>
      <c r="E445" s="4" t="n"/>
      <c r="F445" s="11" t="n"/>
      <c r="G445" s="4" t="n"/>
      <c r="H445" s="11" t="n"/>
      <c r="I445" s="11" t="n"/>
      <c r="J445" s="9">
        <f>IF(OR(F445="",H445=""),"",IF(F445&gt;H445,E445,IF(H445&gt;F445,G445,"")))</f>
        <v/>
      </c>
      <c r="K445" s="4" t="n"/>
      <c r="L445" s="9">
        <f>IF(COUNTA(A445,C445,D445,E445,F445,G445,H445,I445)=0,"",IF(OR(A445="",C445="",E445="",G445=""),"Missing week/class/team",IF(AND(D445="",I445&lt;&gt;"Y"),"No chapter (forfeit?)",IF(AND(D445&lt;&gt;"",I445="Y"),"Forfeit has a chapter",IF(OR(F445="",H445=""),"Missing score",IF(F445=H445,"Tie score",IF(COUNTIFS($A$2:$A$801,A445,$E$2:$E$801,E445)+COUNTIFS($A$2:$A$801,A445,$G$2:$G$801,E445)&gt;1,"Team 1 listed twice this week",IF(COUNTIFS($A$2:$A$801,A445,$E$2:$E$801,G445)+COUNTIFS($A$2:$A$801,A445,$G$2:$G$801,G445)&gt;1,"Team 2 listed twice this week",""))))))))</f>
        <v/>
      </c>
    </row>
    <row r="446">
      <c r="A446" s="11" t="n"/>
      <c r="B446" s="9">
        <f>IF(A446="","",IFERROR(INDEX(Lists!$G$2:$G$7,MATCH(A446,Lists!$F$2:$F$7,0)),"?"))</f>
        <v/>
      </c>
      <c r="C446" s="4" t="n"/>
      <c r="D446" s="4" t="n"/>
      <c r="E446" s="4" t="n"/>
      <c r="F446" s="11" t="n"/>
      <c r="G446" s="4" t="n"/>
      <c r="H446" s="11" t="n"/>
      <c r="I446" s="11" t="n"/>
      <c r="J446" s="9">
        <f>IF(OR(F446="",H446=""),"",IF(F446&gt;H446,E446,IF(H446&gt;F446,G446,"")))</f>
        <v/>
      </c>
      <c r="K446" s="4" t="n"/>
      <c r="L446" s="9">
        <f>IF(COUNTA(A446,C446,D446,E446,F446,G446,H446,I446)=0,"",IF(OR(A446="",C446="",E446="",G446=""),"Missing week/class/team",IF(AND(D446="",I446&lt;&gt;"Y"),"No chapter (forfeit?)",IF(AND(D446&lt;&gt;"",I446="Y"),"Forfeit has a chapter",IF(OR(F446="",H446=""),"Missing score",IF(F446=H446,"Tie score",IF(COUNTIFS($A$2:$A$801,A446,$E$2:$E$801,E446)+COUNTIFS($A$2:$A$801,A446,$G$2:$G$801,E446)&gt;1,"Team 1 listed twice this week",IF(COUNTIFS($A$2:$A$801,A446,$E$2:$E$801,G446)+COUNTIFS($A$2:$A$801,A446,$G$2:$G$801,G446)&gt;1,"Team 2 listed twice this week",""))))))))</f>
        <v/>
      </c>
    </row>
    <row r="447">
      <c r="A447" s="11" t="n"/>
      <c r="B447" s="9">
        <f>IF(A447="","",IFERROR(INDEX(Lists!$G$2:$G$7,MATCH(A447,Lists!$F$2:$F$7,0)),"?"))</f>
        <v/>
      </c>
      <c r="C447" s="4" t="n"/>
      <c r="D447" s="4" t="n"/>
      <c r="E447" s="4" t="n"/>
      <c r="F447" s="11" t="n"/>
      <c r="G447" s="4" t="n"/>
      <c r="H447" s="11" t="n"/>
      <c r="I447" s="11" t="n"/>
      <c r="J447" s="9">
        <f>IF(OR(F447="",H447=""),"",IF(F447&gt;H447,E447,IF(H447&gt;F447,G447,"")))</f>
        <v/>
      </c>
      <c r="K447" s="4" t="n"/>
      <c r="L447" s="9">
        <f>IF(COUNTA(A447,C447,D447,E447,F447,G447,H447,I447)=0,"",IF(OR(A447="",C447="",E447="",G447=""),"Missing week/class/team",IF(AND(D447="",I447&lt;&gt;"Y"),"No chapter (forfeit?)",IF(AND(D447&lt;&gt;"",I447="Y"),"Forfeit has a chapter",IF(OR(F447="",H447=""),"Missing score",IF(F447=H447,"Tie score",IF(COUNTIFS($A$2:$A$801,A447,$E$2:$E$801,E447)+COUNTIFS($A$2:$A$801,A447,$G$2:$G$801,E447)&gt;1,"Team 1 listed twice this week",IF(COUNTIFS($A$2:$A$801,A447,$E$2:$E$801,G447)+COUNTIFS($A$2:$A$801,A447,$G$2:$G$801,G447)&gt;1,"Team 2 listed twice this week",""))))))))</f>
        <v/>
      </c>
    </row>
    <row r="448">
      <c r="A448" s="11" t="n"/>
      <c r="B448" s="9">
        <f>IF(A448="","",IFERROR(INDEX(Lists!$G$2:$G$7,MATCH(A448,Lists!$F$2:$F$7,0)),"?"))</f>
        <v/>
      </c>
      <c r="C448" s="4" t="n"/>
      <c r="D448" s="4" t="n"/>
      <c r="E448" s="4" t="n"/>
      <c r="F448" s="11" t="n"/>
      <c r="G448" s="4" t="n"/>
      <c r="H448" s="11" t="n"/>
      <c r="I448" s="11" t="n"/>
      <c r="J448" s="9">
        <f>IF(OR(F448="",H448=""),"",IF(F448&gt;H448,E448,IF(H448&gt;F448,G448,"")))</f>
        <v/>
      </c>
      <c r="K448" s="4" t="n"/>
      <c r="L448" s="9">
        <f>IF(COUNTA(A448,C448,D448,E448,F448,G448,H448,I448)=0,"",IF(OR(A448="",C448="",E448="",G448=""),"Missing week/class/team",IF(AND(D448="",I448&lt;&gt;"Y"),"No chapter (forfeit?)",IF(AND(D448&lt;&gt;"",I448="Y"),"Forfeit has a chapter",IF(OR(F448="",H448=""),"Missing score",IF(F448=H448,"Tie score",IF(COUNTIFS($A$2:$A$801,A448,$E$2:$E$801,E448)+COUNTIFS($A$2:$A$801,A448,$G$2:$G$801,E448)&gt;1,"Team 1 listed twice this week",IF(COUNTIFS($A$2:$A$801,A448,$E$2:$E$801,G448)+COUNTIFS($A$2:$A$801,A448,$G$2:$G$801,G448)&gt;1,"Team 2 listed twice this week",""))))))))</f>
        <v/>
      </c>
    </row>
    <row r="449">
      <c r="A449" s="11" t="n"/>
      <c r="B449" s="9">
        <f>IF(A449="","",IFERROR(INDEX(Lists!$G$2:$G$7,MATCH(A449,Lists!$F$2:$F$7,0)),"?"))</f>
        <v/>
      </c>
      <c r="C449" s="4" t="n"/>
      <c r="D449" s="4" t="n"/>
      <c r="E449" s="4" t="n"/>
      <c r="F449" s="11" t="n"/>
      <c r="G449" s="4" t="n"/>
      <c r="H449" s="11" t="n"/>
      <c r="I449" s="11" t="n"/>
      <c r="J449" s="9">
        <f>IF(OR(F449="",H449=""),"",IF(F449&gt;H449,E449,IF(H449&gt;F449,G449,"")))</f>
        <v/>
      </c>
      <c r="K449" s="4" t="n"/>
      <c r="L449" s="9">
        <f>IF(COUNTA(A449,C449,D449,E449,F449,G449,H449,I449)=0,"",IF(OR(A449="",C449="",E449="",G449=""),"Missing week/class/team",IF(AND(D449="",I449&lt;&gt;"Y"),"No chapter (forfeit?)",IF(AND(D449&lt;&gt;"",I449="Y"),"Forfeit has a chapter",IF(OR(F449="",H449=""),"Missing score",IF(F449=H449,"Tie score",IF(COUNTIFS($A$2:$A$801,A449,$E$2:$E$801,E449)+COUNTIFS($A$2:$A$801,A449,$G$2:$G$801,E449)&gt;1,"Team 1 listed twice this week",IF(COUNTIFS($A$2:$A$801,A449,$E$2:$E$801,G449)+COUNTIFS($A$2:$A$801,A449,$G$2:$G$801,G449)&gt;1,"Team 2 listed twice this week",""))))))))</f>
        <v/>
      </c>
    </row>
    <row r="450">
      <c r="A450" s="11" t="n"/>
      <c r="B450" s="9">
        <f>IF(A450="","",IFERROR(INDEX(Lists!$G$2:$G$7,MATCH(A450,Lists!$F$2:$F$7,0)),"?"))</f>
        <v/>
      </c>
      <c r="C450" s="4" t="n"/>
      <c r="D450" s="4" t="n"/>
      <c r="E450" s="4" t="n"/>
      <c r="F450" s="11" t="n"/>
      <c r="G450" s="4" t="n"/>
      <c r="H450" s="11" t="n"/>
      <c r="I450" s="11" t="n"/>
      <c r="J450" s="9">
        <f>IF(OR(F450="",H450=""),"",IF(F450&gt;H450,E450,IF(H450&gt;F450,G450,"")))</f>
        <v/>
      </c>
      <c r="K450" s="4" t="n"/>
      <c r="L450" s="9">
        <f>IF(COUNTA(A450,C450,D450,E450,F450,G450,H450,I450)=0,"",IF(OR(A450="",C450="",E450="",G450=""),"Missing week/class/team",IF(AND(D450="",I450&lt;&gt;"Y"),"No chapter (forfeit?)",IF(AND(D450&lt;&gt;"",I450="Y"),"Forfeit has a chapter",IF(OR(F450="",H450=""),"Missing score",IF(F450=H450,"Tie score",IF(COUNTIFS($A$2:$A$801,A450,$E$2:$E$801,E450)+COUNTIFS($A$2:$A$801,A450,$G$2:$G$801,E450)&gt;1,"Team 1 listed twice this week",IF(COUNTIFS($A$2:$A$801,A450,$E$2:$E$801,G450)+COUNTIFS($A$2:$A$801,A450,$G$2:$G$801,G450)&gt;1,"Team 2 listed twice this week",""))))))))</f>
        <v/>
      </c>
    </row>
    <row r="451">
      <c r="A451" s="11" t="n"/>
      <c r="B451" s="9">
        <f>IF(A451="","",IFERROR(INDEX(Lists!$G$2:$G$7,MATCH(A451,Lists!$F$2:$F$7,0)),"?"))</f>
        <v/>
      </c>
      <c r="C451" s="4" t="n"/>
      <c r="D451" s="4" t="n"/>
      <c r="E451" s="4" t="n"/>
      <c r="F451" s="11" t="n"/>
      <c r="G451" s="4" t="n"/>
      <c r="H451" s="11" t="n"/>
      <c r="I451" s="11" t="n"/>
      <c r="J451" s="9">
        <f>IF(OR(F451="",H451=""),"",IF(F451&gt;H451,E451,IF(H451&gt;F451,G451,"")))</f>
        <v/>
      </c>
      <c r="K451" s="4" t="n"/>
      <c r="L451" s="9">
        <f>IF(COUNTA(A451,C451,D451,E451,F451,G451,H451,I451)=0,"",IF(OR(A451="",C451="",E451="",G451=""),"Missing week/class/team",IF(AND(D451="",I451&lt;&gt;"Y"),"No chapter (forfeit?)",IF(AND(D451&lt;&gt;"",I451="Y"),"Forfeit has a chapter",IF(OR(F451="",H451=""),"Missing score",IF(F451=H451,"Tie score",IF(COUNTIFS($A$2:$A$801,A451,$E$2:$E$801,E451)+COUNTIFS($A$2:$A$801,A451,$G$2:$G$801,E451)&gt;1,"Team 1 listed twice this week",IF(COUNTIFS($A$2:$A$801,A451,$E$2:$E$801,G451)+COUNTIFS($A$2:$A$801,A451,$G$2:$G$801,G451)&gt;1,"Team 2 listed twice this week",""))))))))</f>
        <v/>
      </c>
    </row>
    <row r="452">
      <c r="A452" s="11" t="n"/>
      <c r="B452" s="9">
        <f>IF(A452="","",IFERROR(INDEX(Lists!$G$2:$G$7,MATCH(A452,Lists!$F$2:$F$7,0)),"?"))</f>
        <v/>
      </c>
      <c r="C452" s="4" t="n"/>
      <c r="D452" s="4" t="n"/>
      <c r="E452" s="4" t="n"/>
      <c r="F452" s="11" t="n"/>
      <c r="G452" s="4" t="n"/>
      <c r="H452" s="11" t="n"/>
      <c r="I452" s="11" t="n"/>
      <c r="J452" s="9">
        <f>IF(OR(F452="",H452=""),"",IF(F452&gt;H452,E452,IF(H452&gt;F452,G452,"")))</f>
        <v/>
      </c>
      <c r="K452" s="4" t="n"/>
      <c r="L452" s="9">
        <f>IF(COUNTA(A452,C452,D452,E452,F452,G452,H452,I452)=0,"",IF(OR(A452="",C452="",E452="",G452=""),"Missing week/class/team",IF(AND(D452="",I452&lt;&gt;"Y"),"No chapter (forfeit?)",IF(AND(D452&lt;&gt;"",I452="Y"),"Forfeit has a chapter",IF(OR(F452="",H452=""),"Missing score",IF(F452=H452,"Tie score",IF(COUNTIFS($A$2:$A$801,A452,$E$2:$E$801,E452)+COUNTIFS($A$2:$A$801,A452,$G$2:$G$801,E452)&gt;1,"Team 1 listed twice this week",IF(COUNTIFS($A$2:$A$801,A452,$E$2:$E$801,G452)+COUNTIFS($A$2:$A$801,A452,$G$2:$G$801,G452)&gt;1,"Team 2 listed twice this week",""))))))))</f>
        <v/>
      </c>
    </row>
    <row r="453">
      <c r="A453" s="11" t="n"/>
      <c r="B453" s="9">
        <f>IF(A453="","",IFERROR(INDEX(Lists!$G$2:$G$7,MATCH(A453,Lists!$F$2:$F$7,0)),"?"))</f>
        <v/>
      </c>
      <c r="C453" s="4" t="n"/>
      <c r="D453" s="4" t="n"/>
      <c r="E453" s="4" t="n"/>
      <c r="F453" s="11" t="n"/>
      <c r="G453" s="4" t="n"/>
      <c r="H453" s="11" t="n"/>
      <c r="I453" s="11" t="n"/>
      <c r="J453" s="9">
        <f>IF(OR(F453="",H453=""),"",IF(F453&gt;H453,E453,IF(H453&gt;F453,G453,"")))</f>
        <v/>
      </c>
      <c r="K453" s="4" t="n"/>
      <c r="L453" s="9">
        <f>IF(COUNTA(A453,C453,D453,E453,F453,G453,H453,I453)=0,"",IF(OR(A453="",C453="",E453="",G453=""),"Missing week/class/team",IF(AND(D453="",I453&lt;&gt;"Y"),"No chapter (forfeit?)",IF(AND(D453&lt;&gt;"",I453="Y"),"Forfeit has a chapter",IF(OR(F453="",H453=""),"Missing score",IF(F453=H453,"Tie score",IF(COUNTIFS($A$2:$A$801,A453,$E$2:$E$801,E453)+COUNTIFS($A$2:$A$801,A453,$G$2:$G$801,E453)&gt;1,"Team 1 listed twice this week",IF(COUNTIFS($A$2:$A$801,A453,$E$2:$E$801,G453)+COUNTIFS($A$2:$A$801,A453,$G$2:$G$801,G453)&gt;1,"Team 2 listed twice this week",""))))))))</f>
        <v/>
      </c>
    </row>
    <row r="454">
      <c r="A454" s="11" t="n"/>
      <c r="B454" s="9">
        <f>IF(A454="","",IFERROR(INDEX(Lists!$G$2:$G$7,MATCH(A454,Lists!$F$2:$F$7,0)),"?"))</f>
        <v/>
      </c>
      <c r="C454" s="4" t="n"/>
      <c r="D454" s="4" t="n"/>
      <c r="E454" s="4" t="n"/>
      <c r="F454" s="11" t="n"/>
      <c r="G454" s="4" t="n"/>
      <c r="H454" s="11" t="n"/>
      <c r="I454" s="11" t="n"/>
      <c r="J454" s="9">
        <f>IF(OR(F454="",H454=""),"",IF(F454&gt;H454,E454,IF(H454&gt;F454,G454,"")))</f>
        <v/>
      </c>
      <c r="K454" s="4" t="n"/>
      <c r="L454" s="9">
        <f>IF(COUNTA(A454,C454,D454,E454,F454,G454,H454,I454)=0,"",IF(OR(A454="",C454="",E454="",G454=""),"Missing week/class/team",IF(AND(D454="",I454&lt;&gt;"Y"),"No chapter (forfeit?)",IF(AND(D454&lt;&gt;"",I454="Y"),"Forfeit has a chapter",IF(OR(F454="",H454=""),"Missing score",IF(F454=H454,"Tie score",IF(COUNTIFS($A$2:$A$801,A454,$E$2:$E$801,E454)+COUNTIFS($A$2:$A$801,A454,$G$2:$G$801,E454)&gt;1,"Team 1 listed twice this week",IF(COUNTIFS($A$2:$A$801,A454,$E$2:$E$801,G454)+COUNTIFS($A$2:$A$801,A454,$G$2:$G$801,G454)&gt;1,"Team 2 listed twice this week",""))))))))</f>
        <v/>
      </c>
    </row>
    <row r="455">
      <c r="A455" s="11" t="n"/>
      <c r="B455" s="9">
        <f>IF(A455="","",IFERROR(INDEX(Lists!$G$2:$G$7,MATCH(A455,Lists!$F$2:$F$7,0)),"?"))</f>
        <v/>
      </c>
      <c r="C455" s="4" t="n"/>
      <c r="D455" s="4" t="n"/>
      <c r="E455" s="4" t="n"/>
      <c r="F455" s="11" t="n"/>
      <c r="G455" s="4" t="n"/>
      <c r="H455" s="11" t="n"/>
      <c r="I455" s="11" t="n"/>
      <c r="J455" s="9">
        <f>IF(OR(F455="",H455=""),"",IF(F455&gt;H455,E455,IF(H455&gt;F455,G455,"")))</f>
        <v/>
      </c>
      <c r="K455" s="4" t="n"/>
      <c r="L455" s="9">
        <f>IF(COUNTA(A455,C455,D455,E455,F455,G455,H455,I455)=0,"",IF(OR(A455="",C455="",E455="",G455=""),"Missing week/class/team",IF(AND(D455="",I455&lt;&gt;"Y"),"No chapter (forfeit?)",IF(AND(D455&lt;&gt;"",I455="Y"),"Forfeit has a chapter",IF(OR(F455="",H455=""),"Missing score",IF(F455=H455,"Tie score",IF(COUNTIFS($A$2:$A$801,A455,$E$2:$E$801,E455)+COUNTIFS($A$2:$A$801,A455,$G$2:$G$801,E455)&gt;1,"Team 1 listed twice this week",IF(COUNTIFS($A$2:$A$801,A455,$E$2:$E$801,G455)+COUNTIFS($A$2:$A$801,A455,$G$2:$G$801,G455)&gt;1,"Team 2 listed twice this week",""))))))))</f>
        <v/>
      </c>
    </row>
    <row r="456">
      <c r="A456" s="11" t="n"/>
      <c r="B456" s="9">
        <f>IF(A456="","",IFERROR(INDEX(Lists!$G$2:$G$7,MATCH(A456,Lists!$F$2:$F$7,0)),"?"))</f>
        <v/>
      </c>
      <c r="C456" s="4" t="n"/>
      <c r="D456" s="4" t="n"/>
      <c r="E456" s="4" t="n"/>
      <c r="F456" s="11" t="n"/>
      <c r="G456" s="4" t="n"/>
      <c r="H456" s="11" t="n"/>
      <c r="I456" s="11" t="n"/>
      <c r="J456" s="9">
        <f>IF(OR(F456="",H456=""),"",IF(F456&gt;H456,E456,IF(H456&gt;F456,G456,"")))</f>
        <v/>
      </c>
      <c r="K456" s="4" t="n"/>
      <c r="L456" s="9">
        <f>IF(COUNTA(A456,C456,D456,E456,F456,G456,H456,I456)=0,"",IF(OR(A456="",C456="",E456="",G456=""),"Missing week/class/team",IF(AND(D456="",I456&lt;&gt;"Y"),"No chapter (forfeit?)",IF(AND(D456&lt;&gt;"",I456="Y"),"Forfeit has a chapter",IF(OR(F456="",H456=""),"Missing score",IF(F456=H456,"Tie score",IF(COUNTIFS($A$2:$A$801,A456,$E$2:$E$801,E456)+COUNTIFS($A$2:$A$801,A456,$G$2:$G$801,E456)&gt;1,"Team 1 listed twice this week",IF(COUNTIFS($A$2:$A$801,A456,$E$2:$E$801,G456)+COUNTIFS($A$2:$A$801,A456,$G$2:$G$801,G456)&gt;1,"Team 2 listed twice this week",""))))))))</f>
        <v/>
      </c>
    </row>
    <row r="457">
      <c r="A457" s="11" t="n"/>
      <c r="B457" s="9">
        <f>IF(A457="","",IFERROR(INDEX(Lists!$G$2:$G$7,MATCH(A457,Lists!$F$2:$F$7,0)),"?"))</f>
        <v/>
      </c>
      <c r="C457" s="4" t="n"/>
      <c r="D457" s="4" t="n"/>
      <c r="E457" s="4" t="n"/>
      <c r="F457" s="11" t="n"/>
      <c r="G457" s="4" t="n"/>
      <c r="H457" s="11" t="n"/>
      <c r="I457" s="11" t="n"/>
      <c r="J457" s="9">
        <f>IF(OR(F457="",H457=""),"",IF(F457&gt;H457,E457,IF(H457&gt;F457,G457,"")))</f>
        <v/>
      </c>
      <c r="K457" s="4" t="n"/>
      <c r="L457" s="9">
        <f>IF(COUNTA(A457,C457,D457,E457,F457,G457,H457,I457)=0,"",IF(OR(A457="",C457="",E457="",G457=""),"Missing week/class/team",IF(AND(D457="",I457&lt;&gt;"Y"),"No chapter (forfeit?)",IF(AND(D457&lt;&gt;"",I457="Y"),"Forfeit has a chapter",IF(OR(F457="",H457=""),"Missing score",IF(F457=H457,"Tie score",IF(COUNTIFS($A$2:$A$801,A457,$E$2:$E$801,E457)+COUNTIFS($A$2:$A$801,A457,$G$2:$G$801,E457)&gt;1,"Team 1 listed twice this week",IF(COUNTIFS($A$2:$A$801,A457,$E$2:$E$801,G457)+COUNTIFS($A$2:$A$801,A457,$G$2:$G$801,G457)&gt;1,"Team 2 listed twice this week",""))))))))</f>
        <v/>
      </c>
    </row>
    <row r="458">
      <c r="A458" s="11" t="n"/>
      <c r="B458" s="9">
        <f>IF(A458="","",IFERROR(INDEX(Lists!$G$2:$G$7,MATCH(A458,Lists!$F$2:$F$7,0)),"?"))</f>
        <v/>
      </c>
      <c r="C458" s="4" t="n"/>
      <c r="D458" s="4" t="n"/>
      <c r="E458" s="4" t="n"/>
      <c r="F458" s="11" t="n"/>
      <c r="G458" s="4" t="n"/>
      <c r="H458" s="11" t="n"/>
      <c r="I458" s="11" t="n"/>
      <c r="J458" s="9">
        <f>IF(OR(F458="",H458=""),"",IF(F458&gt;H458,E458,IF(H458&gt;F458,G458,"")))</f>
        <v/>
      </c>
      <c r="K458" s="4" t="n"/>
      <c r="L458" s="9">
        <f>IF(COUNTA(A458,C458,D458,E458,F458,G458,H458,I458)=0,"",IF(OR(A458="",C458="",E458="",G458=""),"Missing week/class/team",IF(AND(D458="",I458&lt;&gt;"Y"),"No chapter (forfeit?)",IF(AND(D458&lt;&gt;"",I458="Y"),"Forfeit has a chapter",IF(OR(F458="",H458=""),"Missing score",IF(F458=H458,"Tie score",IF(COUNTIFS($A$2:$A$801,A458,$E$2:$E$801,E458)+COUNTIFS($A$2:$A$801,A458,$G$2:$G$801,E458)&gt;1,"Team 1 listed twice this week",IF(COUNTIFS($A$2:$A$801,A458,$E$2:$E$801,G458)+COUNTIFS($A$2:$A$801,A458,$G$2:$G$801,G458)&gt;1,"Team 2 listed twice this week",""))))))))</f>
        <v/>
      </c>
    </row>
    <row r="459">
      <c r="A459" s="11" t="n"/>
      <c r="B459" s="9">
        <f>IF(A459="","",IFERROR(INDEX(Lists!$G$2:$G$7,MATCH(A459,Lists!$F$2:$F$7,0)),"?"))</f>
        <v/>
      </c>
      <c r="C459" s="4" t="n"/>
      <c r="D459" s="4" t="n"/>
      <c r="E459" s="4" t="n"/>
      <c r="F459" s="11" t="n"/>
      <c r="G459" s="4" t="n"/>
      <c r="H459" s="11" t="n"/>
      <c r="I459" s="11" t="n"/>
      <c r="J459" s="9">
        <f>IF(OR(F459="",H459=""),"",IF(F459&gt;H459,E459,IF(H459&gt;F459,G459,"")))</f>
        <v/>
      </c>
      <c r="K459" s="4" t="n"/>
      <c r="L459" s="9">
        <f>IF(COUNTA(A459,C459,D459,E459,F459,G459,H459,I459)=0,"",IF(OR(A459="",C459="",E459="",G459=""),"Missing week/class/team",IF(AND(D459="",I459&lt;&gt;"Y"),"No chapter (forfeit?)",IF(AND(D459&lt;&gt;"",I459="Y"),"Forfeit has a chapter",IF(OR(F459="",H459=""),"Missing score",IF(F459=H459,"Tie score",IF(COUNTIFS($A$2:$A$801,A459,$E$2:$E$801,E459)+COUNTIFS($A$2:$A$801,A459,$G$2:$G$801,E459)&gt;1,"Team 1 listed twice this week",IF(COUNTIFS($A$2:$A$801,A459,$E$2:$E$801,G459)+COUNTIFS($A$2:$A$801,A459,$G$2:$G$801,G459)&gt;1,"Team 2 listed twice this week",""))))))))</f>
        <v/>
      </c>
    </row>
    <row r="460">
      <c r="A460" s="11" t="n"/>
      <c r="B460" s="9">
        <f>IF(A460="","",IFERROR(INDEX(Lists!$G$2:$G$7,MATCH(A460,Lists!$F$2:$F$7,0)),"?"))</f>
        <v/>
      </c>
      <c r="C460" s="4" t="n"/>
      <c r="D460" s="4" t="n"/>
      <c r="E460" s="4" t="n"/>
      <c r="F460" s="11" t="n"/>
      <c r="G460" s="4" t="n"/>
      <c r="H460" s="11" t="n"/>
      <c r="I460" s="11" t="n"/>
      <c r="J460" s="9">
        <f>IF(OR(F460="",H460=""),"",IF(F460&gt;H460,E460,IF(H460&gt;F460,G460,"")))</f>
        <v/>
      </c>
      <c r="K460" s="4" t="n"/>
      <c r="L460" s="9">
        <f>IF(COUNTA(A460,C460,D460,E460,F460,G460,H460,I460)=0,"",IF(OR(A460="",C460="",E460="",G460=""),"Missing week/class/team",IF(AND(D460="",I460&lt;&gt;"Y"),"No chapter (forfeit?)",IF(AND(D460&lt;&gt;"",I460="Y"),"Forfeit has a chapter",IF(OR(F460="",H460=""),"Missing score",IF(F460=H460,"Tie score",IF(COUNTIFS($A$2:$A$801,A460,$E$2:$E$801,E460)+COUNTIFS($A$2:$A$801,A460,$G$2:$G$801,E460)&gt;1,"Team 1 listed twice this week",IF(COUNTIFS($A$2:$A$801,A460,$E$2:$E$801,G460)+COUNTIFS($A$2:$A$801,A460,$G$2:$G$801,G460)&gt;1,"Team 2 listed twice this week",""))))))))</f>
        <v/>
      </c>
    </row>
    <row r="461">
      <c r="A461" s="11" t="n"/>
      <c r="B461" s="9">
        <f>IF(A461="","",IFERROR(INDEX(Lists!$G$2:$G$7,MATCH(A461,Lists!$F$2:$F$7,0)),"?"))</f>
        <v/>
      </c>
      <c r="C461" s="4" t="n"/>
      <c r="D461" s="4" t="n"/>
      <c r="E461" s="4" t="n"/>
      <c r="F461" s="11" t="n"/>
      <c r="G461" s="4" t="n"/>
      <c r="H461" s="11" t="n"/>
      <c r="I461" s="11" t="n"/>
      <c r="J461" s="9">
        <f>IF(OR(F461="",H461=""),"",IF(F461&gt;H461,E461,IF(H461&gt;F461,G461,"")))</f>
        <v/>
      </c>
      <c r="K461" s="4" t="n"/>
      <c r="L461" s="9">
        <f>IF(COUNTA(A461,C461,D461,E461,F461,G461,H461,I461)=0,"",IF(OR(A461="",C461="",E461="",G461=""),"Missing week/class/team",IF(AND(D461="",I461&lt;&gt;"Y"),"No chapter (forfeit?)",IF(AND(D461&lt;&gt;"",I461="Y"),"Forfeit has a chapter",IF(OR(F461="",H461=""),"Missing score",IF(F461=H461,"Tie score",IF(COUNTIFS($A$2:$A$801,A461,$E$2:$E$801,E461)+COUNTIFS($A$2:$A$801,A461,$G$2:$G$801,E461)&gt;1,"Team 1 listed twice this week",IF(COUNTIFS($A$2:$A$801,A461,$E$2:$E$801,G461)+COUNTIFS($A$2:$A$801,A461,$G$2:$G$801,G461)&gt;1,"Team 2 listed twice this week",""))))))))</f>
        <v/>
      </c>
    </row>
    <row r="462">
      <c r="A462" s="11" t="n"/>
      <c r="B462" s="9">
        <f>IF(A462="","",IFERROR(INDEX(Lists!$G$2:$G$7,MATCH(A462,Lists!$F$2:$F$7,0)),"?"))</f>
        <v/>
      </c>
      <c r="C462" s="4" t="n"/>
      <c r="D462" s="4" t="n"/>
      <c r="E462" s="4" t="n"/>
      <c r="F462" s="11" t="n"/>
      <c r="G462" s="4" t="n"/>
      <c r="H462" s="11" t="n"/>
      <c r="I462" s="11" t="n"/>
      <c r="J462" s="9">
        <f>IF(OR(F462="",H462=""),"",IF(F462&gt;H462,E462,IF(H462&gt;F462,G462,"")))</f>
        <v/>
      </c>
      <c r="K462" s="4" t="n"/>
      <c r="L462" s="9">
        <f>IF(COUNTA(A462,C462,D462,E462,F462,G462,H462,I462)=0,"",IF(OR(A462="",C462="",E462="",G462=""),"Missing week/class/team",IF(AND(D462="",I462&lt;&gt;"Y"),"No chapter (forfeit?)",IF(AND(D462&lt;&gt;"",I462="Y"),"Forfeit has a chapter",IF(OR(F462="",H462=""),"Missing score",IF(F462=H462,"Tie score",IF(COUNTIFS($A$2:$A$801,A462,$E$2:$E$801,E462)+COUNTIFS($A$2:$A$801,A462,$G$2:$G$801,E462)&gt;1,"Team 1 listed twice this week",IF(COUNTIFS($A$2:$A$801,A462,$E$2:$E$801,G462)+COUNTIFS($A$2:$A$801,A462,$G$2:$G$801,G462)&gt;1,"Team 2 listed twice this week",""))))))))</f>
        <v/>
      </c>
    </row>
    <row r="463">
      <c r="A463" s="11" t="n"/>
      <c r="B463" s="9">
        <f>IF(A463="","",IFERROR(INDEX(Lists!$G$2:$G$7,MATCH(A463,Lists!$F$2:$F$7,0)),"?"))</f>
        <v/>
      </c>
      <c r="C463" s="4" t="n"/>
      <c r="D463" s="4" t="n"/>
      <c r="E463" s="4" t="n"/>
      <c r="F463" s="11" t="n"/>
      <c r="G463" s="4" t="n"/>
      <c r="H463" s="11" t="n"/>
      <c r="I463" s="11" t="n"/>
      <c r="J463" s="9">
        <f>IF(OR(F463="",H463=""),"",IF(F463&gt;H463,E463,IF(H463&gt;F463,G463,"")))</f>
        <v/>
      </c>
      <c r="K463" s="4" t="n"/>
      <c r="L463" s="9">
        <f>IF(COUNTA(A463,C463,D463,E463,F463,G463,H463,I463)=0,"",IF(OR(A463="",C463="",E463="",G463=""),"Missing week/class/team",IF(AND(D463="",I463&lt;&gt;"Y"),"No chapter (forfeit?)",IF(AND(D463&lt;&gt;"",I463="Y"),"Forfeit has a chapter",IF(OR(F463="",H463=""),"Missing score",IF(F463=H463,"Tie score",IF(COUNTIFS($A$2:$A$801,A463,$E$2:$E$801,E463)+COUNTIFS($A$2:$A$801,A463,$G$2:$G$801,E463)&gt;1,"Team 1 listed twice this week",IF(COUNTIFS($A$2:$A$801,A463,$E$2:$E$801,G463)+COUNTIFS($A$2:$A$801,A463,$G$2:$G$801,G463)&gt;1,"Team 2 listed twice this week",""))))))))</f>
        <v/>
      </c>
    </row>
    <row r="464">
      <c r="A464" s="11" t="n"/>
      <c r="B464" s="9">
        <f>IF(A464="","",IFERROR(INDEX(Lists!$G$2:$G$7,MATCH(A464,Lists!$F$2:$F$7,0)),"?"))</f>
        <v/>
      </c>
      <c r="C464" s="4" t="n"/>
      <c r="D464" s="4" t="n"/>
      <c r="E464" s="4" t="n"/>
      <c r="F464" s="11" t="n"/>
      <c r="G464" s="4" t="n"/>
      <c r="H464" s="11" t="n"/>
      <c r="I464" s="11" t="n"/>
      <c r="J464" s="9">
        <f>IF(OR(F464="",H464=""),"",IF(F464&gt;H464,E464,IF(H464&gt;F464,G464,"")))</f>
        <v/>
      </c>
      <c r="K464" s="4" t="n"/>
      <c r="L464" s="9">
        <f>IF(COUNTA(A464,C464,D464,E464,F464,G464,H464,I464)=0,"",IF(OR(A464="",C464="",E464="",G464=""),"Missing week/class/team",IF(AND(D464="",I464&lt;&gt;"Y"),"No chapter (forfeit?)",IF(AND(D464&lt;&gt;"",I464="Y"),"Forfeit has a chapter",IF(OR(F464="",H464=""),"Missing score",IF(F464=H464,"Tie score",IF(COUNTIFS($A$2:$A$801,A464,$E$2:$E$801,E464)+COUNTIFS($A$2:$A$801,A464,$G$2:$G$801,E464)&gt;1,"Team 1 listed twice this week",IF(COUNTIFS($A$2:$A$801,A464,$E$2:$E$801,G464)+COUNTIFS($A$2:$A$801,A464,$G$2:$G$801,G464)&gt;1,"Team 2 listed twice this week",""))))))))</f>
        <v/>
      </c>
    </row>
    <row r="465">
      <c r="A465" s="11" t="n"/>
      <c r="B465" s="9">
        <f>IF(A465="","",IFERROR(INDEX(Lists!$G$2:$G$7,MATCH(A465,Lists!$F$2:$F$7,0)),"?"))</f>
        <v/>
      </c>
      <c r="C465" s="4" t="n"/>
      <c r="D465" s="4" t="n"/>
      <c r="E465" s="4" t="n"/>
      <c r="F465" s="11" t="n"/>
      <c r="G465" s="4" t="n"/>
      <c r="H465" s="11" t="n"/>
      <c r="I465" s="11" t="n"/>
      <c r="J465" s="9">
        <f>IF(OR(F465="",H465=""),"",IF(F465&gt;H465,E465,IF(H465&gt;F465,G465,"")))</f>
        <v/>
      </c>
      <c r="K465" s="4" t="n"/>
      <c r="L465" s="9">
        <f>IF(COUNTA(A465,C465,D465,E465,F465,G465,H465,I465)=0,"",IF(OR(A465="",C465="",E465="",G465=""),"Missing week/class/team",IF(AND(D465="",I465&lt;&gt;"Y"),"No chapter (forfeit?)",IF(AND(D465&lt;&gt;"",I465="Y"),"Forfeit has a chapter",IF(OR(F465="",H465=""),"Missing score",IF(F465=H465,"Tie score",IF(COUNTIFS($A$2:$A$801,A465,$E$2:$E$801,E465)+COUNTIFS($A$2:$A$801,A465,$G$2:$G$801,E465)&gt;1,"Team 1 listed twice this week",IF(COUNTIFS($A$2:$A$801,A465,$E$2:$E$801,G465)+COUNTIFS($A$2:$A$801,A465,$G$2:$G$801,G465)&gt;1,"Team 2 listed twice this week",""))))))))</f>
        <v/>
      </c>
    </row>
    <row r="466">
      <c r="A466" s="11" t="n"/>
      <c r="B466" s="9">
        <f>IF(A466="","",IFERROR(INDEX(Lists!$G$2:$G$7,MATCH(A466,Lists!$F$2:$F$7,0)),"?"))</f>
        <v/>
      </c>
      <c r="C466" s="4" t="n"/>
      <c r="D466" s="4" t="n"/>
      <c r="E466" s="4" t="n"/>
      <c r="F466" s="11" t="n"/>
      <c r="G466" s="4" t="n"/>
      <c r="H466" s="11" t="n"/>
      <c r="I466" s="11" t="n"/>
      <c r="J466" s="9">
        <f>IF(OR(F466="",H466=""),"",IF(F466&gt;H466,E466,IF(H466&gt;F466,G466,"")))</f>
        <v/>
      </c>
      <c r="K466" s="4" t="n"/>
      <c r="L466" s="9">
        <f>IF(COUNTA(A466,C466,D466,E466,F466,G466,H466,I466)=0,"",IF(OR(A466="",C466="",E466="",G466=""),"Missing week/class/team",IF(AND(D466="",I466&lt;&gt;"Y"),"No chapter (forfeit?)",IF(AND(D466&lt;&gt;"",I466="Y"),"Forfeit has a chapter",IF(OR(F466="",H466=""),"Missing score",IF(F466=H466,"Tie score",IF(COUNTIFS($A$2:$A$801,A466,$E$2:$E$801,E466)+COUNTIFS($A$2:$A$801,A466,$G$2:$G$801,E466)&gt;1,"Team 1 listed twice this week",IF(COUNTIFS($A$2:$A$801,A466,$E$2:$E$801,G466)+COUNTIFS($A$2:$A$801,A466,$G$2:$G$801,G466)&gt;1,"Team 2 listed twice this week",""))))))))</f>
        <v/>
      </c>
    </row>
    <row r="467">
      <c r="A467" s="11" t="n"/>
      <c r="B467" s="9">
        <f>IF(A467="","",IFERROR(INDEX(Lists!$G$2:$G$7,MATCH(A467,Lists!$F$2:$F$7,0)),"?"))</f>
        <v/>
      </c>
      <c r="C467" s="4" t="n"/>
      <c r="D467" s="4" t="n"/>
      <c r="E467" s="4" t="n"/>
      <c r="F467" s="11" t="n"/>
      <c r="G467" s="4" t="n"/>
      <c r="H467" s="11" t="n"/>
      <c r="I467" s="11" t="n"/>
      <c r="J467" s="9">
        <f>IF(OR(F467="",H467=""),"",IF(F467&gt;H467,E467,IF(H467&gt;F467,G467,"")))</f>
        <v/>
      </c>
      <c r="K467" s="4" t="n"/>
      <c r="L467" s="9">
        <f>IF(COUNTA(A467,C467,D467,E467,F467,G467,H467,I467)=0,"",IF(OR(A467="",C467="",E467="",G467=""),"Missing week/class/team",IF(AND(D467="",I467&lt;&gt;"Y"),"No chapter (forfeit?)",IF(AND(D467&lt;&gt;"",I467="Y"),"Forfeit has a chapter",IF(OR(F467="",H467=""),"Missing score",IF(F467=H467,"Tie score",IF(COUNTIFS($A$2:$A$801,A467,$E$2:$E$801,E467)+COUNTIFS($A$2:$A$801,A467,$G$2:$G$801,E467)&gt;1,"Team 1 listed twice this week",IF(COUNTIFS($A$2:$A$801,A467,$E$2:$E$801,G467)+COUNTIFS($A$2:$A$801,A467,$G$2:$G$801,G467)&gt;1,"Team 2 listed twice this week",""))))))))</f>
        <v/>
      </c>
    </row>
    <row r="468">
      <c r="A468" s="11" t="n"/>
      <c r="B468" s="9">
        <f>IF(A468="","",IFERROR(INDEX(Lists!$G$2:$G$7,MATCH(A468,Lists!$F$2:$F$7,0)),"?"))</f>
        <v/>
      </c>
      <c r="C468" s="4" t="n"/>
      <c r="D468" s="4" t="n"/>
      <c r="E468" s="4" t="n"/>
      <c r="F468" s="11" t="n"/>
      <c r="G468" s="4" t="n"/>
      <c r="H468" s="11" t="n"/>
      <c r="I468" s="11" t="n"/>
      <c r="J468" s="9">
        <f>IF(OR(F468="",H468=""),"",IF(F468&gt;H468,E468,IF(H468&gt;F468,G468,"")))</f>
        <v/>
      </c>
      <c r="K468" s="4" t="n"/>
      <c r="L468" s="9">
        <f>IF(COUNTA(A468,C468,D468,E468,F468,G468,H468,I468)=0,"",IF(OR(A468="",C468="",E468="",G468=""),"Missing week/class/team",IF(AND(D468="",I468&lt;&gt;"Y"),"No chapter (forfeit?)",IF(AND(D468&lt;&gt;"",I468="Y"),"Forfeit has a chapter",IF(OR(F468="",H468=""),"Missing score",IF(F468=H468,"Tie score",IF(COUNTIFS($A$2:$A$801,A468,$E$2:$E$801,E468)+COUNTIFS($A$2:$A$801,A468,$G$2:$G$801,E468)&gt;1,"Team 1 listed twice this week",IF(COUNTIFS($A$2:$A$801,A468,$E$2:$E$801,G468)+COUNTIFS($A$2:$A$801,A468,$G$2:$G$801,G468)&gt;1,"Team 2 listed twice this week",""))))))))</f>
        <v/>
      </c>
    </row>
    <row r="469">
      <c r="A469" s="11" t="n"/>
      <c r="B469" s="9">
        <f>IF(A469="","",IFERROR(INDEX(Lists!$G$2:$G$7,MATCH(A469,Lists!$F$2:$F$7,0)),"?"))</f>
        <v/>
      </c>
      <c r="C469" s="4" t="n"/>
      <c r="D469" s="4" t="n"/>
      <c r="E469" s="4" t="n"/>
      <c r="F469" s="11" t="n"/>
      <c r="G469" s="4" t="n"/>
      <c r="H469" s="11" t="n"/>
      <c r="I469" s="11" t="n"/>
      <c r="J469" s="9">
        <f>IF(OR(F469="",H469=""),"",IF(F469&gt;H469,E469,IF(H469&gt;F469,G469,"")))</f>
        <v/>
      </c>
      <c r="K469" s="4" t="n"/>
      <c r="L469" s="9">
        <f>IF(COUNTA(A469,C469,D469,E469,F469,G469,H469,I469)=0,"",IF(OR(A469="",C469="",E469="",G469=""),"Missing week/class/team",IF(AND(D469="",I469&lt;&gt;"Y"),"No chapter (forfeit?)",IF(AND(D469&lt;&gt;"",I469="Y"),"Forfeit has a chapter",IF(OR(F469="",H469=""),"Missing score",IF(F469=H469,"Tie score",IF(COUNTIFS($A$2:$A$801,A469,$E$2:$E$801,E469)+COUNTIFS($A$2:$A$801,A469,$G$2:$G$801,E469)&gt;1,"Team 1 listed twice this week",IF(COUNTIFS($A$2:$A$801,A469,$E$2:$E$801,G469)+COUNTIFS($A$2:$A$801,A469,$G$2:$G$801,G469)&gt;1,"Team 2 listed twice this week",""))))))))</f>
        <v/>
      </c>
    </row>
    <row r="470">
      <c r="A470" s="11" t="n"/>
      <c r="B470" s="9">
        <f>IF(A470="","",IFERROR(INDEX(Lists!$G$2:$G$7,MATCH(A470,Lists!$F$2:$F$7,0)),"?"))</f>
        <v/>
      </c>
      <c r="C470" s="4" t="n"/>
      <c r="D470" s="4" t="n"/>
      <c r="E470" s="4" t="n"/>
      <c r="F470" s="11" t="n"/>
      <c r="G470" s="4" t="n"/>
      <c r="H470" s="11" t="n"/>
      <c r="I470" s="11" t="n"/>
      <c r="J470" s="9">
        <f>IF(OR(F470="",H470=""),"",IF(F470&gt;H470,E470,IF(H470&gt;F470,G470,"")))</f>
        <v/>
      </c>
      <c r="K470" s="4" t="n"/>
      <c r="L470" s="9">
        <f>IF(COUNTA(A470,C470,D470,E470,F470,G470,H470,I470)=0,"",IF(OR(A470="",C470="",E470="",G470=""),"Missing week/class/team",IF(AND(D470="",I470&lt;&gt;"Y"),"No chapter (forfeit?)",IF(AND(D470&lt;&gt;"",I470="Y"),"Forfeit has a chapter",IF(OR(F470="",H470=""),"Missing score",IF(F470=H470,"Tie score",IF(COUNTIFS($A$2:$A$801,A470,$E$2:$E$801,E470)+COUNTIFS($A$2:$A$801,A470,$G$2:$G$801,E470)&gt;1,"Team 1 listed twice this week",IF(COUNTIFS($A$2:$A$801,A470,$E$2:$E$801,G470)+COUNTIFS($A$2:$A$801,A470,$G$2:$G$801,G470)&gt;1,"Team 2 listed twice this week",""))))))))</f>
        <v/>
      </c>
    </row>
    <row r="471">
      <c r="A471" s="11" t="n"/>
      <c r="B471" s="9">
        <f>IF(A471="","",IFERROR(INDEX(Lists!$G$2:$G$7,MATCH(A471,Lists!$F$2:$F$7,0)),"?"))</f>
        <v/>
      </c>
      <c r="C471" s="4" t="n"/>
      <c r="D471" s="4" t="n"/>
      <c r="E471" s="4" t="n"/>
      <c r="F471" s="11" t="n"/>
      <c r="G471" s="4" t="n"/>
      <c r="H471" s="11" t="n"/>
      <c r="I471" s="11" t="n"/>
      <c r="J471" s="9">
        <f>IF(OR(F471="",H471=""),"",IF(F471&gt;H471,E471,IF(H471&gt;F471,G471,"")))</f>
        <v/>
      </c>
      <c r="K471" s="4" t="n"/>
      <c r="L471" s="9">
        <f>IF(COUNTA(A471,C471,D471,E471,F471,G471,H471,I471)=0,"",IF(OR(A471="",C471="",E471="",G471=""),"Missing week/class/team",IF(AND(D471="",I471&lt;&gt;"Y"),"No chapter (forfeit?)",IF(AND(D471&lt;&gt;"",I471="Y"),"Forfeit has a chapter",IF(OR(F471="",H471=""),"Missing score",IF(F471=H471,"Tie score",IF(COUNTIFS($A$2:$A$801,A471,$E$2:$E$801,E471)+COUNTIFS($A$2:$A$801,A471,$G$2:$G$801,E471)&gt;1,"Team 1 listed twice this week",IF(COUNTIFS($A$2:$A$801,A471,$E$2:$E$801,G471)+COUNTIFS($A$2:$A$801,A471,$G$2:$G$801,G471)&gt;1,"Team 2 listed twice this week",""))))))))</f>
        <v/>
      </c>
    </row>
    <row r="472">
      <c r="A472" s="11" t="n"/>
      <c r="B472" s="9">
        <f>IF(A472="","",IFERROR(INDEX(Lists!$G$2:$G$7,MATCH(A472,Lists!$F$2:$F$7,0)),"?"))</f>
        <v/>
      </c>
      <c r="C472" s="4" t="n"/>
      <c r="D472" s="4" t="n"/>
      <c r="E472" s="4" t="n"/>
      <c r="F472" s="11" t="n"/>
      <c r="G472" s="4" t="n"/>
      <c r="H472" s="11" t="n"/>
      <c r="I472" s="11" t="n"/>
      <c r="J472" s="9">
        <f>IF(OR(F472="",H472=""),"",IF(F472&gt;H472,E472,IF(H472&gt;F472,G472,"")))</f>
        <v/>
      </c>
      <c r="K472" s="4" t="n"/>
      <c r="L472" s="9">
        <f>IF(COUNTA(A472,C472,D472,E472,F472,G472,H472,I472)=0,"",IF(OR(A472="",C472="",E472="",G472=""),"Missing week/class/team",IF(AND(D472="",I472&lt;&gt;"Y"),"No chapter (forfeit?)",IF(AND(D472&lt;&gt;"",I472="Y"),"Forfeit has a chapter",IF(OR(F472="",H472=""),"Missing score",IF(F472=H472,"Tie score",IF(COUNTIFS($A$2:$A$801,A472,$E$2:$E$801,E472)+COUNTIFS($A$2:$A$801,A472,$G$2:$G$801,E472)&gt;1,"Team 1 listed twice this week",IF(COUNTIFS($A$2:$A$801,A472,$E$2:$E$801,G472)+COUNTIFS($A$2:$A$801,A472,$G$2:$G$801,G472)&gt;1,"Team 2 listed twice this week",""))))))))</f>
        <v/>
      </c>
    </row>
    <row r="473">
      <c r="A473" s="11" t="n"/>
      <c r="B473" s="9">
        <f>IF(A473="","",IFERROR(INDEX(Lists!$G$2:$G$7,MATCH(A473,Lists!$F$2:$F$7,0)),"?"))</f>
        <v/>
      </c>
      <c r="C473" s="4" t="n"/>
      <c r="D473" s="4" t="n"/>
      <c r="E473" s="4" t="n"/>
      <c r="F473" s="11" t="n"/>
      <c r="G473" s="4" t="n"/>
      <c r="H473" s="11" t="n"/>
      <c r="I473" s="11" t="n"/>
      <c r="J473" s="9">
        <f>IF(OR(F473="",H473=""),"",IF(F473&gt;H473,E473,IF(H473&gt;F473,G473,"")))</f>
        <v/>
      </c>
      <c r="K473" s="4" t="n"/>
      <c r="L473" s="9">
        <f>IF(COUNTA(A473,C473,D473,E473,F473,G473,H473,I473)=0,"",IF(OR(A473="",C473="",E473="",G473=""),"Missing week/class/team",IF(AND(D473="",I473&lt;&gt;"Y"),"No chapter (forfeit?)",IF(AND(D473&lt;&gt;"",I473="Y"),"Forfeit has a chapter",IF(OR(F473="",H473=""),"Missing score",IF(F473=H473,"Tie score",IF(COUNTIFS($A$2:$A$801,A473,$E$2:$E$801,E473)+COUNTIFS($A$2:$A$801,A473,$G$2:$G$801,E473)&gt;1,"Team 1 listed twice this week",IF(COUNTIFS($A$2:$A$801,A473,$E$2:$E$801,G473)+COUNTIFS($A$2:$A$801,A473,$G$2:$G$801,G473)&gt;1,"Team 2 listed twice this week",""))))))))</f>
        <v/>
      </c>
    </row>
    <row r="474">
      <c r="A474" s="11" t="n"/>
      <c r="B474" s="9">
        <f>IF(A474="","",IFERROR(INDEX(Lists!$G$2:$G$7,MATCH(A474,Lists!$F$2:$F$7,0)),"?"))</f>
        <v/>
      </c>
      <c r="C474" s="4" t="n"/>
      <c r="D474" s="4" t="n"/>
      <c r="E474" s="4" t="n"/>
      <c r="F474" s="11" t="n"/>
      <c r="G474" s="4" t="n"/>
      <c r="H474" s="11" t="n"/>
      <c r="I474" s="11" t="n"/>
      <c r="J474" s="9">
        <f>IF(OR(F474="",H474=""),"",IF(F474&gt;H474,E474,IF(H474&gt;F474,G474,"")))</f>
        <v/>
      </c>
      <c r="K474" s="4" t="n"/>
      <c r="L474" s="9">
        <f>IF(COUNTA(A474,C474,D474,E474,F474,G474,H474,I474)=0,"",IF(OR(A474="",C474="",E474="",G474=""),"Missing week/class/team",IF(AND(D474="",I474&lt;&gt;"Y"),"No chapter (forfeit?)",IF(AND(D474&lt;&gt;"",I474="Y"),"Forfeit has a chapter",IF(OR(F474="",H474=""),"Missing score",IF(F474=H474,"Tie score",IF(COUNTIFS($A$2:$A$801,A474,$E$2:$E$801,E474)+COUNTIFS($A$2:$A$801,A474,$G$2:$G$801,E474)&gt;1,"Team 1 listed twice this week",IF(COUNTIFS($A$2:$A$801,A474,$E$2:$E$801,G474)+COUNTIFS($A$2:$A$801,A474,$G$2:$G$801,G474)&gt;1,"Team 2 listed twice this week",""))))))))</f>
        <v/>
      </c>
    </row>
    <row r="475">
      <c r="A475" s="11" t="n"/>
      <c r="B475" s="9">
        <f>IF(A475="","",IFERROR(INDEX(Lists!$G$2:$G$7,MATCH(A475,Lists!$F$2:$F$7,0)),"?"))</f>
        <v/>
      </c>
      <c r="C475" s="4" t="n"/>
      <c r="D475" s="4" t="n"/>
      <c r="E475" s="4" t="n"/>
      <c r="F475" s="11" t="n"/>
      <c r="G475" s="4" t="n"/>
      <c r="H475" s="11" t="n"/>
      <c r="I475" s="11" t="n"/>
      <c r="J475" s="9">
        <f>IF(OR(F475="",H475=""),"",IF(F475&gt;H475,E475,IF(H475&gt;F475,G475,"")))</f>
        <v/>
      </c>
      <c r="K475" s="4" t="n"/>
      <c r="L475" s="9">
        <f>IF(COUNTA(A475,C475,D475,E475,F475,G475,H475,I475)=0,"",IF(OR(A475="",C475="",E475="",G475=""),"Missing week/class/team",IF(AND(D475="",I475&lt;&gt;"Y"),"No chapter (forfeit?)",IF(AND(D475&lt;&gt;"",I475="Y"),"Forfeit has a chapter",IF(OR(F475="",H475=""),"Missing score",IF(F475=H475,"Tie score",IF(COUNTIFS($A$2:$A$801,A475,$E$2:$E$801,E475)+COUNTIFS($A$2:$A$801,A475,$G$2:$G$801,E475)&gt;1,"Team 1 listed twice this week",IF(COUNTIFS($A$2:$A$801,A475,$E$2:$E$801,G475)+COUNTIFS($A$2:$A$801,A475,$G$2:$G$801,G475)&gt;1,"Team 2 listed twice this week",""))))))))</f>
        <v/>
      </c>
    </row>
    <row r="476">
      <c r="A476" s="11" t="n"/>
      <c r="B476" s="9">
        <f>IF(A476="","",IFERROR(INDEX(Lists!$G$2:$G$7,MATCH(A476,Lists!$F$2:$F$7,0)),"?"))</f>
        <v/>
      </c>
      <c r="C476" s="4" t="n"/>
      <c r="D476" s="4" t="n"/>
      <c r="E476" s="4" t="n"/>
      <c r="F476" s="11" t="n"/>
      <c r="G476" s="4" t="n"/>
      <c r="H476" s="11" t="n"/>
      <c r="I476" s="11" t="n"/>
      <c r="J476" s="9">
        <f>IF(OR(F476="",H476=""),"",IF(F476&gt;H476,E476,IF(H476&gt;F476,G476,"")))</f>
        <v/>
      </c>
      <c r="K476" s="4" t="n"/>
      <c r="L476" s="9">
        <f>IF(COUNTA(A476,C476,D476,E476,F476,G476,H476,I476)=0,"",IF(OR(A476="",C476="",E476="",G476=""),"Missing week/class/team",IF(AND(D476="",I476&lt;&gt;"Y"),"No chapter (forfeit?)",IF(AND(D476&lt;&gt;"",I476="Y"),"Forfeit has a chapter",IF(OR(F476="",H476=""),"Missing score",IF(F476=H476,"Tie score",IF(COUNTIFS($A$2:$A$801,A476,$E$2:$E$801,E476)+COUNTIFS($A$2:$A$801,A476,$G$2:$G$801,E476)&gt;1,"Team 1 listed twice this week",IF(COUNTIFS($A$2:$A$801,A476,$E$2:$E$801,G476)+COUNTIFS($A$2:$A$801,A476,$G$2:$G$801,G476)&gt;1,"Team 2 listed twice this week",""))))))))</f>
        <v/>
      </c>
    </row>
    <row r="477">
      <c r="A477" s="11" t="n"/>
      <c r="B477" s="9">
        <f>IF(A477="","",IFERROR(INDEX(Lists!$G$2:$G$7,MATCH(A477,Lists!$F$2:$F$7,0)),"?"))</f>
        <v/>
      </c>
      <c r="C477" s="4" t="n"/>
      <c r="D477" s="4" t="n"/>
      <c r="E477" s="4" t="n"/>
      <c r="F477" s="11" t="n"/>
      <c r="G477" s="4" t="n"/>
      <c r="H477" s="11" t="n"/>
      <c r="I477" s="11" t="n"/>
      <c r="J477" s="9">
        <f>IF(OR(F477="",H477=""),"",IF(F477&gt;H477,E477,IF(H477&gt;F477,G477,"")))</f>
        <v/>
      </c>
      <c r="K477" s="4" t="n"/>
      <c r="L477" s="9">
        <f>IF(COUNTA(A477,C477,D477,E477,F477,G477,H477,I477)=0,"",IF(OR(A477="",C477="",E477="",G477=""),"Missing week/class/team",IF(AND(D477="",I477&lt;&gt;"Y"),"No chapter (forfeit?)",IF(AND(D477&lt;&gt;"",I477="Y"),"Forfeit has a chapter",IF(OR(F477="",H477=""),"Missing score",IF(F477=H477,"Tie score",IF(COUNTIFS($A$2:$A$801,A477,$E$2:$E$801,E477)+COUNTIFS($A$2:$A$801,A477,$G$2:$G$801,E477)&gt;1,"Team 1 listed twice this week",IF(COUNTIFS($A$2:$A$801,A477,$E$2:$E$801,G477)+COUNTIFS($A$2:$A$801,A477,$G$2:$G$801,G477)&gt;1,"Team 2 listed twice this week",""))))))))</f>
        <v/>
      </c>
    </row>
    <row r="478">
      <c r="A478" s="11" t="n"/>
      <c r="B478" s="9">
        <f>IF(A478="","",IFERROR(INDEX(Lists!$G$2:$G$7,MATCH(A478,Lists!$F$2:$F$7,0)),"?"))</f>
        <v/>
      </c>
      <c r="C478" s="4" t="n"/>
      <c r="D478" s="4" t="n"/>
      <c r="E478" s="4" t="n"/>
      <c r="F478" s="11" t="n"/>
      <c r="G478" s="4" t="n"/>
      <c r="H478" s="11" t="n"/>
      <c r="I478" s="11" t="n"/>
      <c r="J478" s="9">
        <f>IF(OR(F478="",H478=""),"",IF(F478&gt;H478,E478,IF(H478&gt;F478,G478,"")))</f>
        <v/>
      </c>
      <c r="K478" s="4" t="n"/>
      <c r="L478" s="9">
        <f>IF(COUNTA(A478,C478,D478,E478,F478,G478,H478,I478)=0,"",IF(OR(A478="",C478="",E478="",G478=""),"Missing week/class/team",IF(AND(D478="",I478&lt;&gt;"Y"),"No chapter (forfeit?)",IF(AND(D478&lt;&gt;"",I478="Y"),"Forfeit has a chapter",IF(OR(F478="",H478=""),"Missing score",IF(F478=H478,"Tie score",IF(COUNTIFS($A$2:$A$801,A478,$E$2:$E$801,E478)+COUNTIFS($A$2:$A$801,A478,$G$2:$G$801,E478)&gt;1,"Team 1 listed twice this week",IF(COUNTIFS($A$2:$A$801,A478,$E$2:$E$801,G478)+COUNTIFS($A$2:$A$801,A478,$G$2:$G$801,G478)&gt;1,"Team 2 listed twice this week",""))))))))</f>
        <v/>
      </c>
    </row>
    <row r="479">
      <c r="A479" s="11" t="n"/>
      <c r="B479" s="9">
        <f>IF(A479="","",IFERROR(INDEX(Lists!$G$2:$G$7,MATCH(A479,Lists!$F$2:$F$7,0)),"?"))</f>
        <v/>
      </c>
      <c r="C479" s="4" t="n"/>
      <c r="D479" s="4" t="n"/>
      <c r="E479" s="4" t="n"/>
      <c r="F479" s="11" t="n"/>
      <c r="G479" s="4" t="n"/>
      <c r="H479" s="11" t="n"/>
      <c r="I479" s="11" t="n"/>
      <c r="J479" s="9">
        <f>IF(OR(F479="",H479=""),"",IF(F479&gt;H479,E479,IF(H479&gt;F479,G479,"")))</f>
        <v/>
      </c>
      <c r="K479" s="4" t="n"/>
      <c r="L479" s="9">
        <f>IF(COUNTA(A479,C479,D479,E479,F479,G479,H479,I479)=0,"",IF(OR(A479="",C479="",E479="",G479=""),"Missing week/class/team",IF(AND(D479="",I479&lt;&gt;"Y"),"No chapter (forfeit?)",IF(AND(D479&lt;&gt;"",I479="Y"),"Forfeit has a chapter",IF(OR(F479="",H479=""),"Missing score",IF(F479=H479,"Tie score",IF(COUNTIFS($A$2:$A$801,A479,$E$2:$E$801,E479)+COUNTIFS($A$2:$A$801,A479,$G$2:$G$801,E479)&gt;1,"Team 1 listed twice this week",IF(COUNTIFS($A$2:$A$801,A479,$E$2:$E$801,G479)+COUNTIFS($A$2:$A$801,A479,$G$2:$G$801,G479)&gt;1,"Team 2 listed twice this week",""))))))))</f>
        <v/>
      </c>
    </row>
    <row r="480">
      <c r="A480" s="11" t="n"/>
      <c r="B480" s="9">
        <f>IF(A480="","",IFERROR(INDEX(Lists!$G$2:$G$7,MATCH(A480,Lists!$F$2:$F$7,0)),"?"))</f>
        <v/>
      </c>
      <c r="C480" s="4" t="n"/>
      <c r="D480" s="4" t="n"/>
      <c r="E480" s="4" t="n"/>
      <c r="F480" s="11" t="n"/>
      <c r="G480" s="4" t="n"/>
      <c r="H480" s="11" t="n"/>
      <c r="I480" s="11" t="n"/>
      <c r="J480" s="9">
        <f>IF(OR(F480="",H480=""),"",IF(F480&gt;H480,E480,IF(H480&gt;F480,G480,"")))</f>
        <v/>
      </c>
      <c r="K480" s="4" t="n"/>
      <c r="L480" s="9">
        <f>IF(COUNTA(A480,C480,D480,E480,F480,G480,H480,I480)=0,"",IF(OR(A480="",C480="",E480="",G480=""),"Missing week/class/team",IF(AND(D480="",I480&lt;&gt;"Y"),"No chapter (forfeit?)",IF(AND(D480&lt;&gt;"",I480="Y"),"Forfeit has a chapter",IF(OR(F480="",H480=""),"Missing score",IF(F480=H480,"Tie score",IF(COUNTIFS($A$2:$A$801,A480,$E$2:$E$801,E480)+COUNTIFS($A$2:$A$801,A480,$G$2:$G$801,E480)&gt;1,"Team 1 listed twice this week",IF(COUNTIFS($A$2:$A$801,A480,$E$2:$E$801,G480)+COUNTIFS($A$2:$A$801,A480,$G$2:$G$801,G480)&gt;1,"Team 2 listed twice this week",""))))))))</f>
        <v/>
      </c>
    </row>
    <row r="481">
      <c r="A481" s="11" t="n"/>
      <c r="B481" s="9">
        <f>IF(A481="","",IFERROR(INDEX(Lists!$G$2:$G$7,MATCH(A481,Lists!$F$2:$F$7,0)),"?"))</f>
        <v/>
      </c>
      <c r="C481" s="4" t="n"/>
      <c r="D481" s="4" t="n"/>
      <c r="E481" s="4" t="n"/>
      <c r="F481" s="11" t="n"/>
      <c r="G481" s="4" t="n"/>
      <c r="H481" s="11" t="n"/>
      <c r="I481" s="11" t="n"/>
      <c r="J481" s="9">
        <f>IF(OR(F481="",H481=""),"",IF(F481&gt;H481,E481,IF(H481&gt;F481,G481,"")))</f>
        <v/>
      </c>
      <c r="K481" s="4" t="n"/>
      <c r="L481" s="9">
        <f>IF(COUNTA(A481,C481,D481,E481,F481,G481,H481,I481)=0,"",IF(OR(A481="",C481="",E481="",G481=""),"Missing week/class/team",IF(AND(D481="",I481&lt;&gt;"Y"),"No chapter (forfeit?)",IF(AND(D481&lt;&gt;"",I481="Y"),"Forfeit has a chapter",IF(OR(F481="",H481=""),"Missing score",IF(F481=H481,"Tie score",IF(COUNTIFS($A$2:$A$801,A481,$E$2:$E$801,E481)+COUNTIFS($A$2:$A$801,A481,$G$2:$G$801,E481)&gt;1,"Team 1 listed twice this week",IF(COUNTIFS($A$2:$A$801,A481,$E$2:$E$801,G481)+COUNTIFS($A$2:$A$801,A481,$G$2:$G$801,G481)&gt;1,"Team 2 listed twice this week",""))))))))</f>
        <v/>
      </c>
    </row>
    <row r="482">
      <c r="A482" s="11" t="n"/>
      <c r="B482" s="9">
        <f>IF(A482="","",IFERROR(INDEX(Lists!$G$2:$G$7,MATCH(A482,Lists!$F$2:$F$7,0)),"?"))</f>
        <v/>
      </c>
      <c r="C482" s="4" t="n"/>
      <c r="D482" s="4" t="n"/>
      <c r="E482" s="4" t="n"/>
      <c r="F482" s="11" t="n"/>
      <c r="G482" s="4" t="n"/>
      <c r="H482" s="11" t="n"/>
      <c r="I482" s="11" t="n"/>
      <c r="J482" s="9">
        <f>IF(OR(F482="",H482=""),"",IF(F482&gt;H482,E482,IF(H482&gt;F482,G482,"")))</f>
        <v/>
      </c>
      <c r="K482" s="4" t="n"/>
      <c r="L482" s="9">
        <f>IF(COUNTA(A482,C482,D482,E482,F482,G482,H482,I482)=0,"",IF(OR(A482="",C482="",E482="",G482=""),"Missing week/class/team",IF(AND(D482="",I482&lt;&gt;"Y"),"No chapter (forfeit?)",IF(AND(D482&lt;&gt;"",I482="Y"),"Forfeit has a chapter",IF(OR(F482="",H482=""),"Missing score",IF(F482=H482,"Tie score",IF(COUNTIFS($A$2:$A$801,A482,$E$2:$E$801,E482)+COUNTIFS($A$2:$A$801,A482,$G$2:$G$801,E482)&gt;1,"Team 1 listed twice this week",IF(COUNTIFS($A$2:$A$801,A482,$E$2:$E$801,G482)+COUNTIFS($A$2:$A$801,A482,$G$2:$G$801,G482)&gt;1,"Team 2 listed twice this week",""))))))))</f>
        <v/>
      </c>
    </row>
    <row r="483">
      <c r="A483" s="11" t="n"/>
      <c r="B483" s="9">
        <f>IF(A483="","",IFERROR(INDEX(Lists!$G$2:$G$7,MATCH(A483,Lists!$F$2:$F$7,0)),"?"))</f>
        <v/>
      </c>
      <c r="C483" s="4" t="n"/>
      <c r="D483" s="4" t="n"/>
      <c r="E483" s="4" t="n"/>
      <c r="F483" s="11" t="n"/>
      <c r="G483" s="4" t="n"/>
      <c r="H483" s="11" t="n"/>
      <c r="I483" s="11" t="n"/>
      <c r="J483" s="9">
        <f>IF(OR(F483="",H483=""),"",IF(F483&gt;H483,E483,IF(H483&gt;F483,G483,"")))</f>
        <v/>
      </c>
      <c r="K483" s="4" t="n"/>
      <c r="L483" s="9">
        <f>IF(COUNTA(A483,C483,D483,E483,F483,G483,H483,I483)=0,"",IF(OR(A483="",C483="",E483="",G483=""),"Missing week/class/team",IF(AND(D483="",I483&lt;&gt;"Y"),"No chapter (forfeit?)",IF(AND(D483&lt;&gt;"",I483="Y"),"Forfeit has a chapter",IF(OR(F483="",H483=""),"Missing score",IF(F483=H483,"Tie score",IF(COUNTIFS($A$2:$A$801,A483,$E$2:$E$801,E483)+COUNTIFS($A$2:$A$801,A483,$G$2:$G$801,E483)&gt;1,"Team 1 listed twice this week",IF(COUNTIFS($A$2:$A$801,A483,$E$2:$E$801,G483)+COUNTIFS($A$2:$A$801,A483,$G$2:$G$801,G483)&gt;1,"Team 2 listed twice this week",""))))))))</f>
        <v/>
      </c>
    </row>
    <row r="484">
      <c r="A484" s="11" t="n"/>
      <c r="B484" s="9">
        <f>IF(A484="","",IFERROR(INDEX(Lists!$G$2:$G$7,MATCH(A484,Lists!$F$2:$F$7,0)),"?"))</f>
        <v/>
      </c>
      <c r="C484" s="4" t="n"/>
      <c r="D484" s="4" t="n"/>
      <c r="E484" s="4" t="n"/>
      <c r="F484" s="11" t="n"/>
      <c r="G484" s="4" t="n"/>
      <c r="H484" s="11" t="n"/>
      <c r="I484" s="11" t="n"/>
      <c r="J484" s="9">
        <f>IF(OR(F484="",H484=""),"",IF(F484&gt;H484,E484,IF(H484&gt;F484,G484,"")))</f>
        <v/>
      </c>
      <c r="K484" s="4" t="n"/>
      <c r="L484" s="9">
        <f>IF(COUNTA(A484,C484,D484,E484,F484,G484,H484,I484)=0,"",IF(OR(A484="",C484="",E484="",G484=""),"Missing week/class/team",IF(AND(D484="",I484&lt;&gt;"Y"),"No chapter (forfeit?)",IF(AND(D484&lt;&gt;"",I484="Y"),"Forfeit has a chapter",IF(OR(F484="",H484=""),"Missing score",IF(F484=H484,"Tie score",IF(COUNTIFS($A$2:$A$801,A484,$E$2:$E$801,E484)+COUNTIFS($A$2:$A$801,A484,$G$2:$G$801,E484)&gt;1,"Team 1 listed twice this week",IF(COUNTIFS($A$2:$A$801,A484,$E$2:$E$801,G484)+COUNTIFS($A$2:$A$801,A484,$G$2:$G$801,G484)&gt;1,"Team 2 listed twice this week",""))))))))</f>
        <v/>
      </c>
    </row>
    <row r="485">
      <c r="A485" s="11" t="n"/>
      <c r="B485" s="9">
        <f>IF(A485="","",IFERROR(INDEX(Lists!$G$2:$G$7,MATCH(A485,Lists!$F$2:$F$7,0)),"?"))</f>
        <v/>
      </c>
      <c r="C485" s="4" t="n"/>
      <c r="D485" s="4" t="n"/>
      <c r="E485" s="4" t="n"/>
      <c r="F485" s="11" t="n"/>
      <c r="G485" s="4" t="n"/>
      <c r="H485" s="11" t="n"/>
      <c r="I485" s="11" t="n"/>
      <c r="J485" s="9">
        <f>IF(OR(F485="",H485=""),"",IF(F485&gt;H485,E485,IF(H485&gt;F485,G485,"")))</f>
        <v/>
      </c>
      <c r="K485" s="4" t="n"/>
      <c r="L485" s="9">
        <f>IF(COUNTA(A485,C485,D485,E485,F485,G485,H485,I485)=0,"",IF(OR(A485="",C485="",E485="",G485=""),"Missing week/class/team",IF(AND(D485="",I485&lt;&gt;"Y"),"No chapter (forfeit?)",IF(AND(D485&lt;&gt;"",I485="Y"),"Forfeit has a chapter",IF(OR(F485="",H485=""),"Missing score",IF(F485=H485,"Tie score",IF(COUNTIFS($A$2:$A$801,A485,$E$2:$E$801,E485)+COUNTIFS($A$2:$A$801,A485,$G$2:$G$801,E485)&gt;1,"Team 1 listed twice this week",IF(COUNTIFS($A$2:$A$801,A485,$E$2:$E$801,G485)+COUNTIFS($A$2:$A$801,A485,$G$2:$G$801,G485)&gt;1,"Team 2 listed twice this week",""))))))))</f>
        <v/>
      </c>
    </row>
    <row r="486">
      <c r="A486" s="11" t="n"/>
      <c r="B486" s="9">
        <f>IF(A486="","",IFERROR(INDEX(Lists!$G$2:$G$7,MATCH(A486,Lists!$F$2:$F$7,0)),"?"))</f>
        <v/>
      </c>
      <c r="C486" s="4" t="n"/>
      <c r="D486" s="4" t="n"/>
      <c r="E486" s="4" t="n"/>
      <c r="F486" s="11" t="n"/>
      <c r="G486" s="4" t="n"/>
      <c r="H486" s="11" t="n"/>
      <c r="I486" s="11" t="n"/>
      <c r="J486" s="9">
        <f>IF(OR(F486="",H486=""),"",IF(F486&gt;H486,E486,IF(H486&gt;F486,G486,"")))</f>
        <v/>
      </c>
      <c r="K486" s="4" t="n"/>
      <c r="L486" s="9">
        <f>IF(COUNTA(A486,C486,D486,E486,F486,G486,H486,I486)=0,"",IF(OR(A486="",C486="",E486="",G486=""),"Missing week/class/team",IF(AND(D486="",I486&lt;&gt;"Y"),"No chapter (forfeit?)",IF(AND(D486&lt;&gt;"",I486="Y"),"Forfeit has a chapter",IF(OR(F486="",H486=""),"Missing score",IF(F486=H486,"Tie score",IF(COUNTIFS($A$2:$A$801,A486,$E$2:$E$801,E486)+COUNTIFS($A$2:$A$801,A486,$G$2:$G$801,E486)&gt;1,"Team 1 listed twice this week",IF(COUNTIFS($A$2:$A$801,A486,$E$2:$E$801,G486)+COUNTIFS($A$2:$A$801,A486,$G$2:$G$801,G486)&gt;1,"Team 2 listed twice this week",""))))))))</f>
        <v/>
      </c>
    </row>
    <row r="487">
      <c r="A487" s="11" t="n"/>
      <c r="B487" s="9">
        <f>IF(A487="","",IFERROR(INDEX(Lists!$G$2:$G$7,MATCH(A487,Lists!$F$2:$F$7,0)),"?"))</f>
        <v/>
      </c>
      <c r="C487" s="4" t="n"/>
      <c r="D487" s="4" t="n"/>
      <c r="E487" s="4" t="n"/>
      <c r="F487" s="11" t="n"/>
      <c r="G487" s="4" t="n"/>
      <c r="H487" s="11" t="n"/>
      <c r="I487" s="11" t="n"/>
      <c r="J487" s="9">
        <f>IF(OR(F487="",H487=""),"",IF(F487&gt;H487,E487,IF(H487&gt;F487,G487,"")))</f>
        <v/>
      </c>
      <c r="K487" s="4" t="n"/>
      <c r="L487" s="9">
        <f>IF(COUNTA(A487,C487,D487,E487,F487,G487,H487,I487)=0,"",IF(OR(A487="",C487="",E487="",G487=""),"Missing week/class/team",IF(AND(D487="",I487&lt;&gt;"Y"),"No chapter (forfeit?)",IF(AND(D487&lt;&gt;"",I487="Y"),"Forfeit has a chapter",IF(OR(F487="",H487=""),"Missing score",IF(F487=H487,"Tie score",IF(COUNTIFS($A$2:$A$801,A487,$E$2:$E$801,E487)+COUNTIFS($A$2:$A$801,A487,$G$2:$G$801,E487)&gt;1,"Team 1 listed twice this week",IF(COUNTIFS($A$2:$A$801,A487,$E$2:$E$801,G487)+COUNTIFS($A$2:$A$801,A487,$G$2:$G$801,G487)&gt;1,"Team 2 listed twice this week",""))))))))</f>
        <v/>
      </c>
    </row>
    <row r="488">
      <c r="A488" s="11" t="n"/>
      <c r="B488" s="9">
        <f>IF(A488="","",IFERROR(INDEX(Lists!$G$2:$G$7,MATCH(A488,Lists!$F$2:$F$7,0)),"?"))</f>
        <v/>
      </c>
      <c r="C488" s="4" t="n"/>
      <c r="D488" s="4" t="n"/>
      <c r="E488" s="4" t="n"/>
      <c r="F488" s="11" t="n"/>
      <c r="G488" s="4" t="n"/>
      <c r="H488" s="11" t="n"/>
      <c r="I488" s="11" t="n"/>
      <c r="J488" s="9">
        <f>IF(OR(F488="",H488=""),"",IF(F488&gt;H488,E488,IF(H488&gt;F488,G488,"")))</f>
        <v/>
      </c>
      <c r="K488" s="4" t="n"/>
      <c r="L488" s="9">
        <f>IF(COUNTA(A488,C488,D488,E488,F488,G488,H488,I488)=0,"",IF(OR(A488="",C488="",E488="",G488=""),"Missing week/class/team",IF(AND(D488="",I488&lt;&gt;"Y"),"No chapter (forfeit?)",IF(AND(D488&lt;&gt;"",I488="Y"),"Forfeit has a chapter",IF(OR(F488="",H488=""),"Missing score",IF(F488=H488,"Tie score",IF(COUNTIFS($A$2:$A$801,A488,$E$2:$E$801,E488)+COUNTIFS($A$2:$A$801,A488,$G$2:$G$801,E488)&gt;1,"Team 1 listed twice this week",IF(COUNTIFS($A$2:$A$801,A488,$E$2:$E$801,G488)+COUNTIFS($A$2:$A$801,A488,$G$2:$G$801,G488)&gt;1,"Team 2 listed twice this week",""))))))))</f>
        <v/>
      </c>
    </row>
    <row r="489">
      <c r="A489" s="11" t="n"/>
      <c r="B489" s="9">
        <f>IF(A489="","",IFERROR(INDEX(Lists!$G$2:$G$7,MATCH(A489,Lists!$F$2:$F$7,0)),"?"))</f>
        <v/>
      </c>
      <c r="C489" s="4" t="n"/>
      <c r="D489" s="4" t="n"/>
      <c r="E489" s="4" t="n"/>
      <c r="F489" s="11" t="n"/>
      <c r="G489" s="4" t="n"/>
      <c r="H489" s="11" t="n"/>
      <c r="I489" s="11" t="n"/>
      <c r="J489" s="9">
        <f>IF(OR(F489="",H489=""),"",IF(F489&gt;H489,E489,IF(H489&gt;F489,G489,"")))</f>
        <v/>
      </c>
      <c r="K489" s="4" t="n"/>
      <c r="L489" s="9">
        <f>IF(COUNTA(A489,C489,D489,E489,F489,G489,H489,I489)=0,"",IF(OR(A489="",C489="",E489="",G489=""),"Missing week/class/team",IF(AND(D489="",I489&lt;&gt;"Y"),"No chapter (forfeit?)",IF(AND(D489&lt;&gt;"",I489="Y"),"Forfeit has a chapter",IF(OR(F489="",H489=""),"Missing score",IF(F489=H489,"Tie score",IF(COUNTIFS($A$2:$A$801,A489,$E$2:$E$801,E489)+COUNTIFS($A$2:$A$801,A489,$G$2:$G$801,E489)&gt;1,"Team 1 listed twice this week",IF(COUNTIFS($A$2:$A$801,A489,$E$2:$E$801,G489)+COUNTIFS($A$2:$A$801,A489,$G$2:$G$801,G489)&gt;1,"Team 2 listed twice this week",""))))))))</f>
        <v/>
      </c>
    </row>
    <row r="490">
      <c r="A490" s="11" t="n"/>
      <c r="B490" s="9">
        <f>IF(A490="","",IFERROR(INDEX(Lists!$G$2:$G$7,MATCH(A490,Lists!$F$2:$F$7,0)),"?"))</f>
        <v/>
      </c>
      <c r="C490" s="4" t="n"/>
      <c r="D490" s="4" t="n"/>
      <c r="E490" s="4" t="n"/>
      <c r="F490" s="11" t="n"/>
      <c r="G490" s="4" t="n"/>
      <c r="H490" s="11" t="n"/>
      <c r="I490" s="11" t="n"/>
      <c r="J490" s="9">
        <f>IF(OR(F490="",H490=""),"",IF(F490&gt;H490,E490,IF(H490&gt;F490,G490,"")))</f>
        <v/>
      </c>
      <c r="K490" s="4" t="n"/>
      <c r="L490" s="9">
        <f>IF(COUNTA(A490,C490,D490,E490,F490,G490,H490,I490)=0,"",IF(OR(A490="",C490="",E490="",G490=""),"Missing week/class/team",IF(AND(D490="",I490&lt;&gt;"Y"),"No chapter (forfeit?)",IF(AND(D490&lt;&gt;"",I490="Y"),"Forfeit has a chapter",IF(OR(F490="",H490=""),"Missing score",IF(F490=H490,"Tie score",IF(COUNTIFS($A$2:$A$801,A490,$E$2:$E$801,E490)+COUNTIFS($A$2:$A$801,A490,$G$2:$G$801,E490)&gt;1,"Team 1 listed twice this week",IF(COUNTIFS($A$2:$A$801,A490,$E$2:$E$801,G490)+COUNTIFS($A$2:$A$801,A490,$G$2:$G$801,G490)&gt;1,"Team 2 listed twice this week",""))))))))</f>
        <v/>
      </c>
    </row>
    <row r="491">
      <c r="A491" s="11" t="n"/>
      <c r="B491" s="9">
        <f>IF(A491="","",IFERROR(INDEX(Lists!$G$2:$G$7,MATCH(A491,Lists!$F$2:$F$7,0)),"?"))</f>
        <v/>
      </c>
      <c r="C491" s="4" t="n"/>
      <c r="D491" s="4" t="n"/>
      <c r="E491" s="4" t="n"/>
      <c r="F491" s="11" t="n"/>
      <c r="G491" s="4" t="n"/>
      <c r="H491" s="11" t="n"/>
      <c r="I491" s="11" t="n"/>
      <c r="J491" s="9">
        <f>IF(OR(F491="",H491=""),"",IF(F491&gt;H491,E491,IF(H491&gt;F491,G491,"")))</f>
        <v/>
      </c>
      <c r="K491" s="4" t="n"/>
      <c r="L491" s="9">
        <f>IF(COUNTA(A491,C491,D491,E491,F491,G491,H491,I491)=0,"",IF(OR(A491="",C491="",E491="",G491=""),"Missing week/class/team",IF(AND(D491="",I491&lt;&gt;"Y"),"No chapter (forfeit?)",IF(AND(D491&lt;&gt;"",I491="Y"),"Forfeit has a chapter",IF(OR(F491="",H491=""),"Missing score",IF(F491=H491,"Tie score",IF(COUNTIFS($A$2:$A$801,A491,$E$2:$E$801,E491)+COUNTIFS($A$2:$A$801,A491,$G$2:$G$801,E491)&gt;1,"Team 1 listed twice this week",IF(COUNTIFS($A$2:$A$801,A491,$E$2:$E$801,G491)+COUNTIFS($A$2:$A$801,A491,$G$2:$G$801,G491)&gt;1,"Team 2 listed twice this week",""))))))))</f>
        <v/>
      </c>
    </row>
    <row r="492">
      <c r="A492" s="11" t="n"/>
      <c r="B492" s="9">
        <f>IF(A492="","",IFERROR(INDEX(Lists!$G$2:$G$7,MATCH(A492,Lists!$F$2:$F$7,0)),"?"))</f>
        <v/>
      </c>
      <c r="C492" s="4" t="n"/>
      <c r="D492" s="4" t="n"/>
      <c r="E492" s="4" t="n"/>
      <c r="F492" s="11" t="n"/>
      <c r="G492" s="4" t="n"/>
      <c r="H492" s="11" t="n"/>
      <c r="I492" s="11" t="n"/>
      <c r="J492" s="9">
        <f>IF(OR(F492="",H492=""),"",IF(F492&gt;H492,E492,IF(H492&gt;F492,G492,"")))</f>
        <v/>
      </c>
      <c r="K492" s="4" t="n"/>
      <c r="L492" s="9">
        <f>IF(COUNTA(A492,C492,D492,E492,F492,G492,H492,I492)=0,"",IF(OR(A492="",C492="",E492="",G492=""),"Missing week/class/team",IF(AND(D492="",I492&lt;&gt;"Y"),"No chapter (forfeit?)",IF(AND(D492&lt;&gt;"",I492="Y"),"Forfeit has a chapter",IF(OR(F492="",H492=""),"Missing score",IF(F492=H492,"Tie score",IF(COUNTIFS($A$2:$A$801,A492,$E$2:$E$801,E492)+COUNTIFS($A$2:$A$801,A492,$G$2:$G$801,E492)&gt;1,"Team 1 listed twice this week",IF(COUNTIFS($A$2:$A$801,A492,$E$2:$E$801,G492)+COUNTIFS($A$2:$A$801,A492,$G$2:$G$801,G492)&gt;1,"Team 2 listed twice this week",""))))))))</f>
        <v/>
      </c>
    </row>
    <row r="493">
      <c r="A493" s="11" t="n"/>
      <c r="B493" s="9">
        <f>IF(A493="","",IFERROR(INDEX(Lists!$G$2:$G$7,MATCH(A493,Lists!$F$2:$F$7,0)),"?"))</f>
        <v/>
      </c>
      <c r="C493" s="4" t="n"/>
      <c r="D493" s="4" t="n"/>
      <c r="E493" s="4" t="n"/>
      <c r="F493" s="11" t="n"/>
      <c r="G493" s="4" t="n"/>
      <c r="H493" s="11" t="n"/>
      <c r="I493" s="11" t="n"/>
      <c r="J493" s="9">
        <f>IF(OR(F493="",H493=""),"",IF(F493&gt;H493,E493,IF(H493&gt;F493,G493,"")))</f>
        <v/>
      </c>
      <c r="K493" s="4" t="n"/>
      <c r="L493" s="9">
        <f>IF(COUNTA(A493,C493,D493,E493,F493,G493,H493,I493)=0,"",IF(OR(A493="",C493="",E493="",G493=""),"Missing week/class/team",IF(AND(D493="",I493&lt;&gt;"Y"),"No chapter (forfeit?)",IF(AND(D493&lt;&gt;"",I493="Y"),"Forfeit has a chapter",IF(OR(F493="",H493=""),"Missing score",IF(F493=H493,"Tie score",IF(COUNTIFS($A$2:$A$801,A493,$E$2:$E$801,E493)+COUNTIFS($A$2:$A$801,A493,$G$2:$G$801,E493)&gt;1,"Team 1 listed twice this week",IF(COUNTIFS($A$2:$A$801,A493,$E$2:$E$801,G493)+COUNTIFS($A$2:$A$801,A493,$G$2:$G$801,G493)&gt;1,"Team 2 listed twice this week",""))))))))</f>
        <v/>
      </c>
    </row>
    <row r="494">
      <c r="A494" s="11" t="n"/>
      <c r="B494" s="9">
        <f>IF(A494="","",IFERROR(INDEX(Lists!$G$2:$G$7,MATCH(A494,Lists!$F$2:$F$7,0)),"?"))</f>
        <v/>
      </c>
      <c r="C494" s="4" t="n"/>
      <c r="D494" s="4" t="n"/>
      <c r="E494" s="4" t="n"/>
      <c r="F494" s="11" t="n"/>
      <c r="G494" s="4" t="n"/>
      <c r="H494" s="11" t="n"/>
      <c r="I494" s="11" t="n"/>
      <c r="J494" s="9">
        <f>IF(OR(F494="",H494=""),"",IF(F494&gt;H494,E494,IF(H494&gt;F494,G494,"")))</f>
        <v/>
      </c>
      <c r="K494" s="4" t="n"/>
      <c r="L494" s="9">
        <f>IF(COUNTA(A494,C494,D494,E494,F494,G494,H494,I494)=0,"",IF(OR(A494="",C494="",E494="",G494=""),"Missing week/class/team",IF(AND(D494="",I494&lt;&gt;"Y"),"No chapter (forfeit?)",IF(AND(D494&lt;&gt;"",I494="Y"),"Forfeit has a chapter",IF(OR(F494="",H494=""),"Missing score",IF(F494=H494,"Tie score",IF(COUNTIFS($A$2:$A$801,A494,$E$2:$E$801,E494)+COUNTIFS($A$2:$A$801,A494,$G$2:$G$801,E494)&gt;1,"Team 1 listed twice this week",IF(COUNTIFS($A$2:$A$801,A494,$E$2:$E$801,G494)+COUNTIFS($A$2:$A$801,A494,$G$2:$G$801,G494)&gt;1,"Team 2 listed twice this week",""))))))))</f>
        <v/>
      </c>
    </row>
    <row r="495">
      <c r="A495" s="11" t="n"/>
      <c r="B495" s="9">
        <f>IF(A495="","",IFERROR(INDEX(Lists!$G$2:$G$7,MATCH(A495,Lists!$F$2:$F$7,0)),"?"))</f>
        <v/>
      </c>
      <c r="C495" s="4" t="n"/>
      <c r="D495" s="4" t="n"/>
      <c r="E495" s="4" t="n"/>
      <c r="F495" s="11" t="n"/>
      <c r="G495" s="4" t="n"/>
      <c r="H495" s="11" t="n"/>
      <c r="I495" s="11" t="n"/>
      <c r="J495" s="9">
        <f>IF(OR(F495="",H495=""),"",IF(F495&gt;H495,E495,IF(H495&gt;F495,G495,"")))</f>
        <v/>
      </c>
      <c r="K495" s="4" t="n"/>
      <c r="L495" s="9">
        <f>IF(COUNTA(A495,C495,D495,E495,F495,G495,H495,I495)=0,"",IF(OR(A495="",C495="",E495="",G495=""),"Missing week/class/team",IF(AND(D495="",I495&lt;&gt;"Y"),"No chapter (forfeit?)",IF(AND(D495&lt;&gt;"",I495="Y"),"Forfeit has a chapter",IF(OR(F495="",H495=""),"Missing score",IF(F495=H495,"Tie score",IF(COUNTIFS($A$2:$A$801,A495,$E$2:$E$801,E495)+COUNTIFS($A$2:$A$801,A495,$G$2:$G$801,E495)&gt;1,"Team 1 listed twice this week",IF(COUNTIFS($A$2:$A$801,A495,$E$2:$E$801,G495)+COUNTIFS($A$2:$A$801,A495,$G$2:$G$801,G495)&gt;1,"Team 2 listed twice this week",""))))))))</f>
        <v/>
      </c>
    </row>
    <row r="496">
      <c r="A496" s="11" t="n"/>
      <c r="B496" s="9">
        <f>IF(A496="","",IFERROR(INDEX(Lists!$G$2:$G$7,MATCH(A496,Lists!$F$2:$F$7,0)),"?"))</f>
        <v/>
      </c>
      <c r="C496" s="4" t="n"/>
      <c r="D496" s="4" t="n"/>
      <c r="E496" s="4" t="n"/>
      <c r="F496" s="11" t="n"/>
      <c r="G496" s="4" t="n"/>
      <c r="H496" s="11" t="n"/>
      <c r="I496" s="11" t="n"/>
      <c r="J496" s="9">
        <f>IF(OR(F496="",H496=""),"",IF(F496&gt;H496,E496,IF(H496&gt;F496,G496,"")))</f>
        <v/>
      </c>
      <c r="K496" s="4" t="n"/>
      <c r="L496" s="9">
        <f>IF(COUNTA(A496,C496,D496,E496,F496,G496,H496,I496)=0,"",IF(OR(A496="",C496="",E496="",G496=""),"Missing week/class/team",IF(AND(D496="",I496&lt;&gt;"Y"),"No chapter (forfeit?)",IF(AND(D496&lt;&gt;"",I496="Y"),"Forfeit has a chapter",IF(OR(F496="",H496=""),"Missing score",IF(F496=H496,"Tie score",IF(COUNTIFS($A$2:$A$801,A496,$E$2:$E$801,E496)+COUNTIFS($A$2:$A$801,A496,$G$2:$G$801,E496)&gt;1,"Team 1 listed twice this week",IF(COUNTIFS($A$2:$A$801,A496,$E$2:$E$801,G496)+COUNTIFS($A$2:$A$801,A496,$G$2:$G$801,G496)&gt;1,"Team 2 listed twice this week",""))))))))</f>
        <v/>
      </c>
    </row>
    <row r="497">
      <c r="A497" s="11" t="n"/>
      <c r="B497" s="9">
        <f>IF(A497="","",IFERROR(INDEX(Lists!$G$2:$G$7,MATCH(A497,Lists!$F$2:$F$7,0)),"?"))</f>
        <v/>
      </c>
      <c r="C497" s="4" t="n"/>
      <c r="D497" s="4" t="n"/>
      <c r="E497" s="4" t="n"/>
      <c r="F497" s="11" t="n"/>
      <c r="G497" s="4" t="n"/>
      <c r="H497" s="11" t="n"/>
      <c r="I497" s="11" t="n"/>
      <c r="J497" s="9">
        <f>IF(OR(F497="",H497=""),"",IF(F497&gt;H497,E497,IF(H497&gt;F497,G497,"")))</f>
        <v/>
      </c>
      <c r="K497" s="4" t="n"/>
      <c r="L497" s="9">
        <f>IF(COUNTA(A497,C497,D497,E497,F497,G497,H497,I497)=0,"",IF(OR(A497="",C497="",E497="",G497=""),"Missing week/class/team",IF(AND(D497="",I497&lt;&gt;"Y"),"No chapter (forfeit?)",IF(AND(D497&lt;&gt;"",I497="Y"),"Forfeit has a chapter",IF(OR(F497="",H497=""),"Missing score",IF(F497=H497,"Tie score",IF(COUNTIFS($A$2:$A$801,A497,$E$2:$E$801,E497)+COUNTIFS($A$2:$A$801,A497,$G$2:$G$801,E497)&gt;1,"Team 1 listed twice this week",IF(COUNTIFS($A$2:$A$801,A497,$E$2:$E$801,G497)+COUNTIFS($A$2:$A$801,A497,$G$2:$G$801,G497)&gt;1,"Team 2 listed twice this week",""))))))))</f>
        <v/>
      </c>
    </row>
    <row r="498">
      <c r="A498" s="11" t="n"/>
      <c r="B498" s="9">
        <f>IF(A498="","",IFERROR(INDEX(Lists!$G$2:$G$7,MATCH(A498,Lists!$F$2:$F$7,0)),"?"))</f>
        <v/>
      </c>
      <c r="C498" s="4" t="n"/>
      <c r="D498" s="4" t="n"/>
      <c r="E498" s="4" t="n"/>
      <c r="F498" s="11" t="n"/>
      <c r="G498" s="4" t="n"/>
      <c r="H498" s="11" t="n"/>
      <c r="I498" s="11" t="n"/>
      <c r="J498" s="9">
        <f>IF(OR(F498="",H498=""),"",IF(F498&gt;H498,E498,IF(H498&gt;F498,G498,"")))</f>
        <v/>
      </c>
      <c r="K498" s="4" t="n"/>
      <c r="L498" s="9">
        <f>IF(COUNTA(A498,C498,D498,E498,F498,G498,H498,I498)=0,"",IF(OR(A498="",C498="",E498="",G498=""),"Missing week/class/team",IF(AND(D498="",I498&lt;&gt;"Y"),"No chapter (forfeit?)",IF(AND(D498&lt;&gt;"",I498="Y"),"Forfeit has a chapter",IF(OR(F498="",H498=""),"Missing score",IF(F498=H498,"Tie score",IF(COUNTIFS($A$2:$A$801,A498,$E$2:$E$801,E498)+COUNTIFS($A$2:$A$801,A498,$G$2:$G$801,E498)&gt;1,"Team 1 listed twice this week",IF(COUNTIFS($A$2:$A$801,A498,$E$2:$E$801,G498)+COUNTIFS($A$2:$A$801,A498,$G$2:$G$801,G498)&gt;1,"Team 2 listed twice this week",""))))))))</f>
        <v/>
      </c>
    </row>
    <row r="499">
      <c r="A499" s="11" t="n"/>
      <c r="B499" s="9">
        <f>IF(A499="","",IFERROR(INDEX(Lists!$G$2:$G$7,MATCH(A499,Lists!$F$2:$F$7,0)),"?"))</f>
        <v/>
      </c>
      <c r="C499" s="4" t="n"/>
      <c r="D499" s="4" t="n"/>
      <c r="E499" s="4" t="n"/>
      <c r="F499" s="11" t="n"/>
      <c r="G499" s="4" t="n"/>
      <c r="H499" s="11" t="n"/>
      <c r="I499" s="11" t="n"/>
      <c r="J499" s="9">
        <f>IF(OR(F499="",H499=""),"",IF(F499&gt;H499,E499,IF(H499&gt;F499,G499,"")))</f>
        <v/>
      </c>
      <c r="K499" s="4" t="n"/>
      <c r="L499" s="9">
        <f>IF(COUNTA(A499,C499,D499,E499,F499,G499,H499,I499)=0,"",IF(OR(A499="",C499="",E499="",G499=""),"Missing week/class/team",IF(AND(D499="",I499&lt;&gt;"Y"),"No chapter (forfeit?)",IF(AND(D499&lt;&gt;"",I499="Y"),"Forfeit has a chapter",IF(OR(F499="",H499=""),"Missing score",IF(F499=H499,"Tie score",IF(COUNTIFS($A$2:$A$801,A499,$E$2:$E$801,E499)+COUNTIFS($A$2:$A$801,A499,$G$2:$G$801,E499)&gt;1,"Team 1 listed twice this week",IF(COUNTIFS($A$2:$A$801,A499,$E$2:$E$801,G499)+COUNTIFS($A$2:$A$801,A499,$G$2:$G$801,G499)&gt;1,"Team 2 listed twice this week",""))))))))</f>
        <v/>
      </c>
    </row>
    <row r="500">
      <c r="A500" s="11" t="n"/>
      <c r="B500" s="9">
        <f>IF(A500="","",IFERROR(INDEX(Lists!$G$2:$G$7,MATCH(A500,Lists!$F$2:$F$7,0)),"?"))</f>
        <v/>
      </c>
      <c r="C500" s="4" t="n"/>
      <c r="D500" s="4" t="n"/>
      <c r="E500" s="4" t="n"/>
      <c r="F500" s="11" t="n"/>
      <c r="G500" s="4" t="n"/>
      <c r="H500" s="11" t="n"/>
      <c r="I500" s="11" t="n"/>
      <c r="J500" s="9">
        <f>IF(OR(F500="",H500=""),"",IF(F500&gt;H500,E500,IF(H500&gt;F500,G500,"")))</f>
        <v/>
      </c>
      <c r="K500" s="4" t="n"/>
      <c r="L500" s="9">
        <f>IF(COUNTA(A500,C500,D500,E500,F500,G500,H500,I500)=0,"",IF(OR(A500="",C500="",E500="",G500=""),"Missing week/class/team",IF(AND(D500="",I500&lt;&gt;"Y"),"No chapter (forfeit?)",IF(AND(D500&lt;&gt;"",I500="Y"),"Forfeit has a chapter",IF(OR(F500="",H500=""),"Missing score",IF(F500=H500,"Tie score",IF(COUNTIFS($A$2:$A$801,A500,$E$2:$E$801,E500)+COUNTIFS($A$2:$A$801,A500,$G$2:$G$801,E500)&gt;1,"Team 1 listed twice this week",IF(COUNTIFS($A$2:$A$801,A500,$E$2:$E$801,G500)+COUNTIFS($A$2:$A$801,A500,$G$2:$G$801,G500)&gt;1,"Team 2 listed twice this week",""))))))))</f>
        <v/>
      </c>
    </row>
    <row r="501">
      <c r="A501" s="11" t="n"/>
      <c r="B501" s="9">
        <f>IF(A501="","",IFERROR(INDEX(Lists!$G$2:$G$7,MATCH(A501,Lists!$F$2:$F$7,0)),"?"))</f>
        <v/>
      </c>
      <c r="C501" s="4" t="n"/>
      <c r="D501" s="4" t="n"/>
      <c r="E501" s="4" t="n"/>
      <c r="F501" s="11" t="n"/>
      <c r="G501" s="4" t="n"/>
      <c r="H501" s="11" t="n"/>
      <c r="I501" s="11" t="n"/>
      <c r="J501" s="9">
        <f>IF(OR(F501="",H501=""),"",IF(F501&gt;H501,E501,IF(H501&gt;F501,G501,"")))</f>
        <v/>
      </c>
      <c r="K501" s="4" t="n"/>
      <c r="L501" s="9">
        <f>IF(COUNTA(A501,C501,D501,E501,F501,G501,H501,I501)=0,"",IF(OR(A501="",C501="",E501="",G501=""),"Missing week/class/team",IF(AND(D501="",I501&lt;&gt;"Y"),"No chapter (forfeit?)",IF(AND(D501&lt;&gt;"",I501="Y"),"Forfeit has a chapter",IF(OR(F501="",H501=""),"Missing score",IF(F501=H501,"Tie score",IF(COUNTIFS($A$2:$A$801,A501,$E$2:$E$801,E501)+COUNTIFS($A$2:$A$801,A501,$G$2:$G$801,E501)&gt;1,"Team 1 listed twice this week",IF(COUNTIFS($A$2:$A$801,A501,$E$2:$E$801,G501)+COUNTIFS($A$2:$A$801,A501,$G$2:$G$801,G501)&gt;1,"Team 2 listed twice this week",""))))))))</f>
        <v/>
      </c>
    </row>
    <row r="502">
      <c r="A502" s="11" t="n"/>
      <c r="B502" s="9">
        <f>IF(A502="","",IFERROR(INDEX(Lists!$G$2:$G$7,MATCH(A502,Lists!$F$2:$F$7,0)),"?"))</f>
        <v/>
      </c>
      <c r="C502" s="4" t="n"/>
      <c r="D502" s="4" t="n"/>
      <c r="E502" s="4" t="n"/>
      <c r="F502" s="11" t="n"/>
      <c r="G502" s="4" t="n"/>
      <c r="H502" s="11" t="n"/>
      <c r="I502" s="11" t="n"/>
      <c r="J502" s="9">
        <f>IF(OR(F502="",H502=""),"",IF(F502&gt;H502,E502,IF(H502&gt;F502,G502,"")))</f>
        <v/>
      </c>
      <c r="K502" s="4" t="n"/>
      <c r="L502" s="9">
        <f>IF(COUNTA(A502,C502,D502,E502,F502,G502,H502,I502)=0,"",IF(OR(A502="",C502="",E502="",G502=""),"Missing week/class/team",IF(AND(D502="",I502&lt;&gt;"Y"),"No chapter (forfeit?)",IF(AND(D502&lt;&gt;"",I502="Y"),"Forfeit has a chapter",IF(OR(F502="",H502=""),"Missing score",IF(F502=H502,"Tie score",IF(COUNTIFS($A$2:$A$801,A502,$E$2:$E$801,E502)+COUNTIFS($A$2:$A$801,A502,$G$2:$G$801,E502)&gt;1,"Team 1 listed twice this week",IF(COUNTIFS($A$2:$A$801,A502,$E$2:$E$801,G502)+COUNTIFS($A$2:$A$801,A502,$G$2:$G$801,G502)&gt;1,"Team 2 listed twice this week",""))))))))</f>
        <v/>
      </c>
    </row>
    <row r="503">
      <c r="A503" s="11" t="n"/>
      <c r="B503" s="9">
        <f>IF(A503="","",IFERROR(INDEX(Lists!$G$2:$G$7,MATCH(A503,Lists!$F$2:$F$7,0)),"?"))</f>
        <v/>
      </c>
      <c r="C503" s="4" t="n"/>
      <c r="D503" s="4" t="n"/>
      <c r="E503" s="4" t="n"/>
      <c r="F503" s="11" t="n"/>
      <c r="G503" s="4" t="n"/>
      <c r="H503" s="11" t="n"/>
      <c r="I503" s="11" t="n"/>
      <c r="J503" s="9">
        <f>IF(OR(F503="",H503=""),"",IF(F503&gt;H503,E503,IF(H503&gt;F503,G503,"")))</f>
        <v/>
      </c>
      <c r="K503" s="4" t="n"/>
      <c r="L503" s="9">
        <f>IF(COUNTA(A503,C503,D503,E503,F503,G503,H503,I503)=0,"",IF(OR(A503="",C503="",E503="",G503=""),"Missing week/class/team",IF(AND(D503="",I503&lt;&gt;"Y"),"No chapter (forfeit?)",IF(AND(D503&lt;&gt;"",I503="Y"),"Forfeit has a chapter",IF(OR(F503="",H503=""),"Missing score",IF(F503=H503,"Tie score",IF(COUNTIFS($A$2:$A$801,A503,$E$2:$E$801,E503)+COUNTIFS($A$2:$A$801,A503,$G$2:$G$801,E503)&gt;1,"Team 1 listed twice this week",IF(COUNTIFS($A$2:$A$801,A503,$E$2:$E$801,G503)+COUNTIFS($A$2:$A$801,A503,$G$2:$G$801,G503)&gt;1,"Team 2 listed twice this week",""))))))))</f>
        <v/>
      </c>
    </row>
    <row r="504">
      <c r="A504" s="11" t="n"/>
      <c r="B504" s="9">
        <f>IF(A504="","",IFERROR(INDEX(Lists!$G$2:$G$7,MATCH(A504,Lists!$F$2:$F$7,0)),"?"))</f>
        <v/>
      </c>
      <c r="C504" s="4" t="n"/>
      <c r="D504" s="4" t="n"/>
      <c r="E504" s="4" t="n"/>
      <c r="F504" s="11" t="n"/>
      <c r="G504" s="4" t="n"/>
      <c r="H504" s="11" t="n"/>
      <c r="I504" s="11" t="n"/>
      <c r="J504" s="9">
        <f>IF(OR(F504="",H504=""),"",IF(F504&gt;H504,E504,IF(H504&gt;F504,G504,"")))</f>
        <v/>
      </c>
      <c r="K504" s="4" t="n"/>
      <c r="L504" s="9">
        <f>IF(COUNTA(A504,C504,D504,E504,F504,G504,H504,I504)=0,"",IF(OR(A504="",C504="",E504="",G504=""),"Missing week/class/team",IF(AND(D504="",I504&lt;&gt;"Y"),"No chapter (forfeit?)",IF(AND(D504&lt;&gt;"",I504="Y"),"Forfeit has a chapter",IF(OR(F504="",H504=""),"Missing score",IF(F504=H504,"Tie score",IF(COUNTIFS($A$2:$A$801,A504,$E$2:$E$801,E504)+COUNTIFS($A$2:$A$801,A504,$G$2:$G$801,E504)&gt;1,"Team 1 listed twice this week",IF(COUNTIFS($A$2:$A$801,A504,$E$2:$E$801,G504)+COUNTIFS($A$2:$A$801,A504,$G$2:$G$801,G504)&gt;1,"Team 2 listed twice this week",""))))))))</f>
        <v/>
      </c>
    </row>
    <row r="505">
      <c r="A505" s="11" t="n"/>
      <c r="B505" s="9">
        <f>IF(A505="","",IFERROR(INDEX(Lists!$G$2:$G$7,MATCH(A505,Lists!$F$2:$F$7,0)),"?"))</f>
        <v/>
      </c>
      <c r="C505" s="4" t="n"/>
      <c r="D505" s="4" t="n"/>
      <c r="E505" s="4" t="n"/>
      <c r="F505" s="11" t="n"/>
      <c r="G505" s="4" t="n"/>
      <c r="H505" s="11" t="n"/>
      <c r="I505" s="11" t="n"/>
      <c r="J505" s="9">
        <f>IF(OR(F505="",H505=""),"",IF(F505&gt;H505,E505,IF(H505&gt;F505,G505,"")))</f>
        <v/>
      </c>
      <c r="K505" s="4" t="n"/>
      <c r="L505" s="9">
        <f>IF(COUNTA(A505,C505,D505,E505,F505,G505,H505,I505)=0,"",IF(OR(A505="",C505="",E505="",G505=""),"Missing week/class/team",IF(AND(D505="",I505&lt;&gt;"Y"),"No chapter (forfeit?)",IF(AND(D505&lt;&gt;"",I505="Y"),"Forfeit has a chapter",IF(OR(F505="",H505=""),"Missing score",IF(F505=H505,"Tie score",IF(COUNTIFS($A$2:$A$801,A505,$E$2:$E$801,E505)+COUNTIFS($A$2:$A$801,A505,$G$2:$G$801,E505)&gt;1,"Team 1 listed twice this week",IF(COUNTIFS($A$2:$A$801,A505,$E$2:$E$801,G505)+COUNTIFS($A$2:$A$801,A505,$G$2:$G$801,G505)&gt;1,"Team 2 listed twice this week",""))))))))</f>
        <v/>
      </c>
    </row>
    <row r="506">
      <c r="A506" s="11" t="n"/>
      <c r="B506" s="9">
        <f>IF(A506="","",IFERROR(INDEX(Lists!$G$2:$G$7,MATCH(A506,Lists!$F$2:$F$7,0)),"?"))</f>
        <v/>
      </c>
      <c r="C506" s="4" t="n"/>
      <c r="D506" s="4" t="n"/>
      <c r="E506" s="4" t="n"/>
      <c r="F506" s="11" t="n"/>
      <c r="G506" s="4" t="n"/>
      <c r="H506" s="11" t="n"/>
      <c r="I506" s="11" t="n"/>
      <c r="J506" s="9">
        <f>IF(OR(F506="",H506=""),"",IF(F506&gt;H506,E506,IF(H506&gt;F506,G506,"")))</f>
        <v/>
      </c>
      <c r="K506" s="4" t="n"/>
      <c r="L506" s="9">
        <f>IF(COUNTA(A506,C506,D506,E506,F506,G506,H506,I506)=0,"",IF(OR(A506="",C506="",E506="",G506=""),"Missing week/class/team",IF(AND(D506="",I506&lt;&gt;"Y"),"No chapter (forfeit?)",IF(AND(D506&lt;&gt;"",I506="Y"),"Forfeit has a chapter",IF(OR(F506="",H506=""),"Missing score",IF(F506=H506,"Tie score",IF(COUNTIFS($A$2:$A$801,A506,$E$2:$E$801,E506)+COUNTIFS($A$2:$A$801,A506,$G$2:$G$801,E506)&gt;1,"Team 1 listed twice this week",IF(COUNTIFS($A$2:$A$801,A506,$E$2:$E$801,G506)+COUNTIFS($A$2:$A$801,A506,$G$2:$G$801,G506)&gt;1,"Team 2 listed twice this week",""))))))))</f>
        <v/>
      </c>
    </row>
    <row r="507">
      <c r="A507" s="11" t="n"/>
      <c r="B507" s="9">
        <f>IF(A507="","",IFERROR(INDEX(Lists!$G$2:$G$7,MATCH(A507,Lists!$F$2:$F$7,0)),"?"))</f>
        <v/>
      </c>
      <c r="C507" s="4" t="n"/>
      <c r="D507" s="4" t="n"/>
      <c r="E507" s="4" t="n"/>
      <c r="F507" s="11" t="n"/>
      <c r="G507" s="4" t="n"/>
      <c r="H507" s="11" t="n"/>
      <c r="I507" s="11" t="n"/>
      <c r="J507" s="9">
        <f>IF(OR(F507="",H507=""),"",IF(F507&gt;H507,E507,IF(H507&gt;F507,G507,"")))</f>
        <v/>
      </c>
      <c r="K507" s="4" t="n"/>
      <c r="L507" s="9">
        <f>IF(COUNTA(A507,C507,D507,E507,F507,G507,H507,I507)=0,"",IF(OR(A507="",C507="",E507="",G507=""),"Missing week/class/team",IF(AND(D507="",I507&lt;&gt;"Y"),"No chapter (forfeit?)",IF(AND(D507&lt;&gt;"",I507="Y"),"Forfeit has a chapter",IF(OR(F507="",H507=""),"Missing score",IF(F507=H507,"Tie score",IF(COUNTIFS($A$2:$A$801,A507,$E$2:$E$801,E507)+COUNTIFS($A$2:$A$801,A507,$G$2:$G$801,E507)&gt;1,"Team 1 listed twice this week",IF(COUNTIFS($A$2:$A$801,A507,$E$2:$E$801,G507)+COUNTIFS($A$2:$A$801,A507,$G$2:$G$801,G507)&gt;1,"Team 2 listed twice this week",""))))))))</f>
        <v/>
      </c>
    </row>
    <row r="508">
      <c r="A508" s="11" t="n"/>
      <c r="B508" s="9">
        <f>IF(A508="","",IFERROR(INDEX(Lists!$G$2:$G$7,MATCH(A508,Lists!$F$2:$F$7,0)),"?"))</f>
        <v/>
      </c>
      <c r="C508" s="4" t="n"/>
      <c r="D508" s="4" t="n"/>
      <c r="E508" s="4" t="n"/>
      <c r="F508" s="11" t="n"/>
      <c r="G508" s="4" t="n"/>
      <c r="H508" s="11" t="n"/>
      <c r="I508" s="11" t="n"/>
      <c r="J508" s="9">
        <f>IF(OR(F508="",H508=""),"",IF(F508&gt;H508,E508,IF(H508&gt;F508,G508,"")))</f>
        <v/>
      </c>
      <c r="K508" s="4" t="n"/>
      <c r="L508" s="9">
        <f>IF(COUNTA(A508,C508,D508,E508,F508,G508,H508,I508)=0,"",IF(OR(A508="",C508="",E508="",G508=""),"Missing week/class/team",IF(AND(D508="",I508&lt;&gt;"Y"),"No chapter (forfeit?)",IF(AND(D508&lt;&gt;"",I508="Y"),"Forfeit has a chapter",IF(OR(F508="",H508=""),"Missing score",IF(F508=H508,"Tie score",IF(COUNTIFS($A$2:$A$801,A508,$E$2:$E$801,E508)+COUNTIFS($A$2:$A$801,A508,$G$2:$G$801,E508)&gt;1,"Team 1 listed twice this week",IF(COUNTIFS($A$2:$A$801,A508,$E$2:$E$801,G508)+COUNTIFS($A$2:$A$801,A508,$G$2:$G$801,G508)&gt;1,"Team 2 listed twice this week",""))))))))</f>
        <v/>
      </c>
    </row>
    <row r="509">
      <c r="A509" s="11" t="n"/>
      <c r="B509" s="9">
        <f>IF(A509="","",IFERROR(INDEX(Lists!$G$2:$G$7,MATCH(A509,Lists!$F$2:$F$7,0)),"?"))</f>
        <v/>
      </c>
      <c r="C509" s="4" t="n"/>
      <c r="D509" s="4" t="n"/>
      <c r="E509" s="4" t="n"/>
      <c r="F509" s="11" t="n"/>
      <c r="G509" s="4" t="n"/>
      <c r="H509" s="11" t="n"/>
      <c r="I509" s="11" t="n"/>
      <c r="J509" s="9">
        <f>IF(OR(F509="",H509=""),"",IF(F509&gt;H509,E509,IF(H509&gt;F509,G509,"")))</f>
        <v/>
      </c>
      <c r="K509" s="4" t="n"/>
      <c r="L509" s="9">
        <f>IF(COUNTA(A509,C509,D509,E509,F509,G509,H509,I509)=0,"",IF(OR(A509="",C509="",E509="",G509=""),"Missing week/class/team",IF(AND(D509="",I509&lt;&gt;"Y"),"No chapter (forfeit?)",IF(AND(D509&lt;&gt;"",I509="Y"),"Forfeit has a chapter",IF(OR(F509="",H509=""),"Missing score",IF(F509=H509,"Tie score",IF(COUNTIFS($A$2:$A$801,A509,$E$2:$E$801,E509)+COUNTIFS($A$2:$A$801,A509,$G$2:$G$801,E509)&gt;1,"Team 1 listed twice this week",IF(COUNTIFS($A$2:$A$801,A509,$E$2:$E$801,G509)+COUNTIFS($A$2:$A$801,A509,$G$2:$G$801,G509)&gt;1,"Team 2 listed twice this week",""))))))))</f>
        <v/>
      </c>
    </row>
    <row r="510">
      <c r="A510" s="11" t="n"/>
      <c r="B510" s="9">
        <f>IF(A510="","",IFERROR(INDEX(Lists!$G$2:$G$7,MATCH(A510,Lists!$F$2:$F$7,0)),"?"))</f>
        <v/>
      </c>
      <c r="C510" s="4" t="n"/>
      <c r="D510" s="4" t="n"/>
      <c r="E510" s="4" t="n"/>
      <c r="F510" s="11" t="n"/>
      <c r="G510" s="4" t="n"/>
      <c r="H510" s="11" t="n"/>
      <c r="I510" s="11" t="n"/>
      <c r="J510" s="9">
        <f>IF(OR(F510="",H510=""),"",IF(F510&gt;H510,E510,IF(H510&gt;F510,G510,"")))</f>
        <v/>
      </c>
      <c r="K510" s="4" t="n"/>
      <c r="L510" s="9">
        <f>IF(COUNTA(A510,C510,D510,E510,F510,G510,H510,I510)=0,"",IF(OR(A510="",C510="",E510="",G510=""),"Missing week/class/team",IF(AND(D510="",I510&lt;&gt;"Y"),"No chapter (forfeit?)",IF(AND(D510&lt;&gt;"",I510="Y"),"Forfeit has a chapter",IF(OR(F510="",H510=""),"Missing score",IF(F510=H510,"Tie score",IF(COUNTIFS($A$2:$A$801,A510,$E$2:$E$801,E510)+COUNTIFS($A$2:$A$801,A510,$G$2:$G$801,E510)&gt;1,"Team 1 listed twice this week",IF(COUNTIFS($A$2:$A$801,A510,$E$2:$E$801,G510)+COUNTIFS($A$2:$A$801,A510,$G$2:$G$801,G510)&gt;1,"Team 2 listed twice this week",""))))))))</f>
        <v/>
      </c>
    </row>
    <row r="511">
      <c r="A511" s="11" t="n"/>
      <c r="B511" s="9">
        <f>IF(A511="","",IFERROR(INDEX(Lists!$G$2:$G$7,MATCH(A511,Lists!$F$2:$F$7,0)),"?"))</f>
        <v/>
      </c>
      <c r="C511" s="4" t="n"/>
      <c r="D511" s="4" t="n"/>
      <c r="E511" s="4" t="n"/>
      <c r="F511" s="11" t="n"/>
      <c r="G511" s="4" t="n"/>
      <c r="H511" s="11" t="n"/>
      <c r="I511" s="11" t="n"/>
      <c r="J511" s="9">
        <f>IF(OR(F511="",H511=""),"",IF(F511&gt;H511,E511,IF(H511&gt;F511,G511,"")))</f>
        <v/>
      </c>
      <c r="K511" s="4" t="n"/>
      <c r="L511" s="9">
        <f>IF(COUNTA(A511,C511,D511,E511,F511,G511,H511,I511)=0,"",IF(OR(A511="",C511="",E511="",G511=""),"Missing week/class/team",IF(AND(D511="",I511&lt;&gt;"Y"),"No chapter (forfeit?)",IF(AND(D511&lt;&gt;"",I511="Y"),"Forfeit has a chapter",IF(OR(F511="",H511=""),"Missing score",IF(F511=H511,"Tie score",IF(COUNTIFS($A$2:$A$801,A511,$E$2:$E$801,E511)+COUNTIFS($A$2:$A$801,A511,$G$2:$G$801,E511)&gt;1,"Team 1 listed twice this week",IF(COUNTIFS($A$2:$A$801,A511,$E$2:$E$801,G511)+COUNTIFS($A$2:$A$801,A511,$G$2:$G$801,G511)&gt;1,"Team 2 listed twice this week",""))))))))</f>
        <v/>
      </c>
    </row>
    <row r="512">
      <c r="A512" s="11" t="n"/>
      <c r="B512" s="9">
        <f>IF(A512="","",IFERROR(INDEX(Lists!$G$2:$G$7,MATCH(A512,Lists!$F$2:$F$7,0)),"?"))</f>
        <v/>
      </c>
      <c r="C512" s="4" t="n"/>
      <c r="D512" s="4" t="n"/>
      <c r="E512" s="4" t="n"/>
      <c r="F512" s="11" t="n"/>
      <c r="G512" s="4" t="n"/>
      <c r="H512" s="11" t="n"/>
      <c r="I512" s="11" t="n"/>
      <c r="J512" s="9">
        <f>IF(OR(F512="",H512=""),"",IF(F512&gt;H512,E512,IF(H512&gt;F512,G512,"")))</f>
        <v/>
      </c>
      <c r="K512" s="4" t="n"/>
      <c r="L512" s="9">
        <f>IF(COUNTA(A512,C512,D512,E512,F512,G512,H512,I512)=0,"",IF(OR(A512="",C512="",E512="",G512=""),"Missing week/class/team",IF(AND(D512="",I512&lt;&gt;"Y"),"No chapter (forfeit?)",IF(AND(D512&lt;&gt;"",I512="Y"),"Forfeit has a chapter",IF(OR(F512="",H512=""),"Missing score",IF(F512=H512,"Tie score",IF(COUNTIFS($A$2:$A$801,A512,$E$2:$E$801,E512)+COUNTIFS($A$2:$A$801,A512,$G$2:$G$801,E512)&gt;1,"Team 1 listed twice this week",IF(COUNTIFS($A$2:$A$801,A512,$E$2:$E$801,G512)+COUNTIFS($A$2:$A$801,A512,$G$2:$G$801,G512)&gt;1,"Team 2 listed twice this week",""))))))))</f>
        <v/>
      </c>
    </row>
    <row r="513">
      <c r="A513" s="11" t="n"/>
      <c r="B513" s="9">
        <f>IF(A513="","",IFERROR(INDEX(Lists!$G$2:$G$7,MATCH(A513,Lists!$F$2:$F$7,0)),"?"))</f>
        <v/>
      </c>
      <c r="C513" s="4" t="n"/>
      <c r="D513" s="4" t="n"/>
      <c r="E513" s="4" t="n"/>
      <c r="F513" s="11" t="n"/>
      <c r="G513" s="4" t="n"/>
      <c r="H513" s="11" t="n"/>
      <c r="I513" s="11" t="n"/>
      <c r="J513" s="9">
        <f>IF(OR(F513="",H513=""),"",IF(F513&gt;H513,E513,IF(H513&gt;F513,G513,"")))</f>
        <v/>
      </c>
      <c r="K513" s="4" t="n"/>
      <c r="L513" s="9">
        <f>IF(COUNTA(A513,C513,D513,E513,F513,G513,H513,I513)=0,"",IF(OR(A513="",C513="",E513="",G513=""),"Missing week/class/team",IF(AND(D513="",I513&lt;&gt;"Y"),"No chapter (forfeit?)",IF(AND(D513&lt;&gt;"",I513="Y"),"Forfeit has a chapter",IF(OR(F513="",H513=""),"Missing score",IF(F513=H513,"Tie score",IF(COUNTIFS($A$2:$A$801,A513,$E$2:$E$801,E513)+COUNTIFS($A$2:$A$801,A513,$G$2:$G$801,E513)&gt;1,"Team 1 listed twice this week",IF(COUNTIFS($A$2:$A$801,A513,$E$2:$E$801,G513)+COUNTIFS($A$2:$A$801,A513,$G$2:$G$801,G513)&gt;1,"Team 2 listed twice this week",""))))))))</f>
        <v/>
      </c>
    </row>
    <row r="514">
      <c r="A514" s="11" t="n"/>
      <c r="B514" s="9">
        <f>IF(A514="","",IFERROR(INDEX(Lists!$G$2:$G$7,MATCH(A514,Lists!$F$2:$F$7,0)),"?"))</f>
        <v/>
      </c>
      <c r="C514" s="4" t="n"/>
      <c r="D514" s="4" t="n"/>
      <c r="E514" s="4" t="n"/>
      <c r="F514" s="11" t="n"/>
      <c r="G514" s="4" t="n"/>
      <c r="H514" s="11" t="n"/>
      <c r="I514" s="11" t="n"/>
      <c r="J514" s="9">
        <f>IF(OR(F514="",H514=""),"",IF(F514&gt;H514,E514,IF(H514&gt;F514,G514,"")))</f>
        <v/>
      </c>
      <c r="K514" s="4" t="n"/>
      <c r="L514" s="9">
        <f>IF(COUNTA(A514,C514,D514,E514,F514,G514,H514,I514)=0,"",IF(OR(A514="",C514="",E514="",G514=""),"Missing week/class/team",IF(AND(D514="",I514&lt;&gt;"Y"),"No chapter (forfeit?)",IF(AND(D514&lt;&gt;"",I514="Y"),"Forfeit has a chapter",IF(OR(F514="",H514=""),"Missing score",IF(F514=H514,"Tie score",IF(COUNTIFS($A$2:$A$801,A514,$E$2:$E$801,E514)+COUNTIFS($A$2:$A$801,A514,$G$2:$G$801,E514)&gt;1,"Team 1 listed twice this week",IF(COUNTIFS($A$2:$A$801,A514,$E$2:$E$801,G514)+COUNTIFS($A$2:$A$801,A514,$G$2:$G$801,G514)&gt;1,"Team 2 listed twice this week",""))))))))</f>
        <v/>
      </c>
    </row>
    <row r="515">
      <c r="A515" s="11" t="n"/>
      <c r="B515" s="9">
        <f>IF(A515="","",IFERROR(INDEX(Lists!$G$2:$G$7,MATCH(A515,Lists!$F$2:$F$7,0)),"?"))</f>
        <v/>
      </c>
      <c r="C515" s="4" t="n"/>
      <c r="D515" s="4" t="n"/>
      <c r="E515" s="4" t="n"/>
      <c r="F515" s="11" t="n"/>
      <c r="G515" s="4" t="n"/>
      <c r="H515" s="11" t="n"/>
      <c r="I515" s="11" t="n"/>
      <c r="J515" s="9">
        <f>IF(OR(F515="",H515=""),"",IF(F515&gt;H515,E515,IF(H515&gt;F515,G515,"")))</f>
        <v/>
      </c>
      <c r="K515" s="4" t="n"/>
      <c r="L515" s="9">
        <f>IF(COUNTA(A515,C515,D515,E515,F515,G515,H515,I515)=0,"",IF(OR(A515="",C515="",E515="",G515=""),"Missing week/class/team",IF(AND(D515="",I515&lt;&gt;"Y"),"No chapter (forfeit?)",IF(AND(D515&lt;&gt;"",I515="Y"),"Forfeit has a chapter",IF(OR(F515="",H515=""),"Missing score",IF(F515=H515,"Tie score",IF(COUNTIFS($A$2:$A$801,A515,$E$2:$E$801,E515)+COUNTIFS($A$2:$A$801,A515,$G$2:$G$801,E515)&gt;1,"Team 1 listed twice this week",IF(COUNTIFS($A$2:$A$801,A515,$E$2:$E$801,G515)+COUNTIFS($A$2:$A$801,A515,$G$2:$G$801,G515)&gt;1,"Team 2 listed twice this week",""))))))))</f>
        <v/>
      </c>
    </row>
    <row r="516">
      <c r="A516" s="11" t="n"/>
      <c r="B516" s="9">
        <f>IF(A516="","",IFERROR(INDEX(Lists!$G$2:$G$7,MATCH(A516,Lists!$F$2:$F$7,0)),"?"))</f>
        <v/>
      </c>
      <c r="C516" s="4" t="n"/>
      <c r="D516" s="4" t="n"/>
      <c r="E516" s="4" t="n"/>
      <c r="F516" s="11" t="n"/>
      <c r="G516" s="4" t="n"/>
      <c r="H516" s="11" t="n"/>
      <c r="I516" s="11" t="n"/>
      <c r="J516" s="9">
        <f>IF(OR(F516="",H516=""),"",IF(F516&gt;H516,E516,IF(H516&gt;F516,G516,"")))</f>
        <v/>
      </c>
      <c r="K516" s="4" t="n"/>
      <c r="L516" s="9">
        <f>IF(COUNTA(A516,C516,D516,E516,F516,G516,H516,I516)=0,"",IF(OR(A516="",C516="",E516="",G516=""),"Missing week/class/team",IF(AND(D516="",I516&lt;&gt;"Y"),"No chapter (forfeit?)",IF(AND(D516&lt;&gt;"",I516="Y"),"Forfeit has a chapter",IF(OR(F516="",H516=""),"Missing score",IF(F516=H516,"Tie score",IF(COUNTIFS($A$2:$A$801,A516,$E$2:$E$801,E516)+COUNTIFS($A$2:$A$801,A516,$G$2:$G$801,E516)&gt;1,"Team 1 listed twice this week",IF(COUNTIFS($A$2:$A$801,A516,$E$2:$E$801,G516)+COUNTIFS($A$2:$A$801,A516,$G$2:$G$801,G516)&gt;1,"Team 2 listed twice this week",""))))))))</f>
        <v/>
      </c>
    </row>
    <row r="517">
      <c r="A517" s="11" t="n"/>
      <c r="B517" s="9">
        <f>IF(A517="","",IFERROR(INDEX(Lists!$G$2:$G$7,MATCH(A517,Lists!$F$2:$F$7,0)),"?"))</f>
        <v/>
      </c>
      <c r="C517" s="4" t="n"/>
      <c r="D517" s="4" t="n"/>
      <c r="E517" s="4" t="n"/>
      <c r="F517" s="11" t="n"/>
      <c r="G517" s="4" t="n"/>
      <c r="H517" s="11" t="n"/>
      <c r="I517" s="11" t="n"/>
      <c r="J517" s="9">
        <f>IF(OR(F517="",H517=""),"",IF(F517&gt;H517,E517,IF(H517&gt;F517,G517,"")))</f>
        <v/>
      </c>
      <c r="K517" s="4" t="n"/>
      <c r="L517" s="9">
        <f>IF(COUNTA(A517,C517,D517,E517,F517,G517,H517,I517)=0,"",IF(OR(A517="",C517="",E517="",G517=""),"Missing week/class/team",IF(AND(D517="",I517&lt;&gt;"Y"),"No chapter (forfeit?)",IF(AND(D517&lt;&gt;"",I517="Y"),"Forfeit has a chapter",IF(OR(F517="",H517=""),"Missing score",IF(F517=H517,"Tie score",IF(COUNTIFS($A$2:$A$801,A517,$E$2:$E$801,E517)+COUNTIFS($A$2:$A$801,A517,$G$2:$G$801,E517)&gt;1,"Team 1 listed twice this week",IF(COUNTIFS($A$2:$A$801,A517,$E$2:$E$801,G517)+COUNTIFS($A$2:$A$801,A517,$G$2:$G$801,G517)&gt;1,"Team 2 listed twice this week",""))))))))</f>
        <v/>
      </c>
    </row>
    <row r="518">
      <c r="A518" s="11" t="n"/>
      <c r="B518" s="9">
        <f>IF(A518="","",IFERROR(INDEX(Lists!$G$2:$G$7,MATCH(A518,Lists!$F$2:$F$7,0)),"?"))</f>
        <v/>
      </c>
      <c r="C518" s="4" t="n"/>
      <c r="D518" s="4" t="n"/>
      <c r="E518" s="4" t="n"/>
      <c r="F518" s="11" t="n"/>
      <c r="G518" s="4" t="n"/>
      <c r="H518" s="11" t="n"/>
      <c r="I518" s="11" t="n"/>
      <c r="J518" s="9">
        <f>IF(OR(F518="",H518=""),"",IF(F518&gt;H518,E518,IF(H518&gt;F518,G518,"")))</f>
        <v/>
      </c>
      <c r="K518" s="4" t="n"/>
      <c r="L518" s="9">
        <f>IF(COUNTA(A518,C518,D518,E518,F518,G518,H518,I518)=0,"",IF(OR(A518="",C518="",E518="",G518=""),"Missing week/class/team",IF(AND(D518="",I518&lt;&gt;"Y"),"No chapter (forfeit?)",IF(AND(D518&lt;&gt;"",I518="Y"),"Forfeit has a chapter",IF(OR(F518="",H518=""),"Missing score",IF(F518=H518,"Tie score",IF(COUNTIFS($A$2:$A$801,A518,$E$2:$E$801,E518)+COUNTIFS($A$2:$A$801,A518,$G$2:$G$801,E518)&gt;1,"Team 1 listed twice this week",IF(COUNTIFS($A$2:$A$801,A518,$E$2:$E$801,G518)+COUNTIFS($A$2:$A$801,A518,$G$2:$G$801,G518)&gt;1,"Team 2 listed twice this week",""))))))))</f>
        <v/>
      </c>
    </row>
    <row r="519">
      <c r="A519" s="11" t="n"/>
      <c r="B519" s="9">
        <f>IF(A519="","",IFERROR(INDEX(Lists!$G$2:$G$7,MATCH(A519,Lists!$F$2:$F$7,0)),"?"))</f>
        <v/>
      </c>
      <c r="C519" s="4" t="n"/>
      <c r="D519" s="4" t="n"/>
      <c r="E519" s="4" t="n"/>
      <c r="F519" s="11" t="n"/>
      <c r="G519" s="4" t="n"/>
      <c r="H519" s="11" t="n"/>
      <c r="I519" s="11" t="n"/>
      <c r="J519" s="9">
        <f>IF(OR(F519="",H519=""),"",IF(F519&gt;H519,E519,IF(H519&gt;F519,G519,"")))</f>
        <v/>
      </c>
      <c r="K519" s="4" t="n"/>
      <c r="L519" s="9">
        <f>IF(COUNTA(A519,C519,D519,E519,F519,G519,H519,I519)=0,"",IF(OR(A519="",C519="",E519="",G519=""),"Missing week/class/team",IF(AND(D519="",I519&lt;&gt;"Y"),"No chapter (forfeit?)",IF(AND(D519&lt;&gt;"",I519="Y"),"Forfeit has a chapter",IF(OR(F519="",H519=""),"Missing score",IF(F519=H519,"Tie score",IF(COUNTIFS($A$2:$A$801,A519,$E$2:$E$801,E519)+COUNTIFS($A$2:$A$801,A519,$G$2:$G$801,E519)&gt;1,"Team 1 listed twice this week",IF(COUNTIFS($A$2:$A$801,A519,$E$2:$E$801,G519)+COUNTIFS($A$2:$A$801,A519,$G$2:$G$801,G519)&gt;1,"Team 2 listed twice this week",""))))))))</f>
        <v/>
      </c>
    </row>
    <row r="520">
      <c r="A520" s="11" t="n"/>
      <c r="B520" s="9">
        <f>IF(A520="","",IFERROR(INDEX(Lists!$G$2:$G$7,MATCH(A520,Lists!$F$2:$F$7,0)),"?"))</f>
        <v/>
      </c>
      <c r="C520" s="4" t="n"/>
      <c r="D520" s="4" t="n"/>
      <c r="E520" s="4" t="n"/>
      <c r="F520" s="11" t="n"/>
      <c r="G520" s="4" t="n"/>
      <c r="H520" s="11" t="n"/>
      <c r="I520" s="11" t="n"/>
      <c r="J520" s="9">
        <f>IF(OR(F520="",H520=""),"",IF(F520&gt;H520,E520,IF(H520&gt;F520,G520,"")))</f>
        <v/>
      </c>
      <c r="K520" s="4" t="n"/>
      <c r="L520" s="9">
        <f>IF(COUNTA(A520,C520,D520,E520,F520,G520,H520,I520)=0,"",IF(OR(A520="",C520="",E520="",G520=""),"Missing week/class/team",IF(AND(D520="",I520&lt;&gt;"Y"),"No chapter (forfeit?)",IF(AND(D520&lt;&gt;"",I520="Y"),"Forfeit has a chapter",IF(OR(F520="",H520=""),"Missing score",IF(F520=H520,"Tie score",IF(COUNTIFS($A$2:$A$801,A520,$E$2:$E$801,E520)+COUNTIFS($A$2:$A$801,A520,$G$2:$G$801,E520)&gt;1,"Team 1 listed twice this week",IF(COUNTIFS($A$2:$A$801,A520,$E$2:$E$801,G520)+COUNTIFS($A$2:$A$801,A520,$G$2:$G$801,G520)&gt;1,"Team 2 listed twice this week",""))))))))</f>
        <v/>
      </c>
    </row>
    <row r="521">
      <c r="A521" s="11" t="n"/>
      <c r="B521" s="9">
        <f>IF(A521="","",IFERROR(INDEX(Lists!$G$2:$G$7,MATCH(A521,Lists!$F$2:$F$7,0)),"?"))</f>
        <v/>
      </c>
      <c r="C521" s="4" t="n"/>
      <c r="D521" s="4" t="n"/>
      <c r="E521" s="4" t="n"/>
      <c r="F521" s="11" t="n"/>
      <c r="G521" s="4" t="n"/>
      <c r="H521" s="11" t="n"/>
      <c r="I521" s="11" t="n"/>
      <c r="J521" s="9">
        <f>IF(OR(F521="",H521=""),"",IF(F521&gt;H521,E521,IF(H521&gt;F521,G521,"")))</f>
        <v/>
      </c>
      <c r="K521" s="4" t="n"/>
      <c r="L521" s="9">
        <f>IF(COUNTA(A521,C521,D521,E521,F521,G521,H521,I521)=0,"",IF(OR(A521="",C521="",E521="",G521=""),"Missing week/class/team",IF(AND(D521="",I521&lt;&gt;"Y"),"No chapter (forfeit?)",IF(AND(D521&lt;&gt;"",I521="Y"),"Forfeit has a chapter",IF(OR(F521="",H521=""),"Missing score",IF(F521=H521,"Tie score",IF(COUNTIFS($A$2:$A$801,A521,$E$2:$E$801,E521)+COUNTIFS($A$2:$A$801,A521,$G$2:$G$801,E521)&gt;1,"Team 1 listed twice this week",IF(COUNTIFS($A$2:$A$801,A521,$E$2:$E$801,G521)+COUNTIFS($A$2:$A$801,A521,$G$2:$G$801,G521)&gt;1,"Team 2 listed twice this week",""))))))))</f>
        <v/>
      </c>
    </row>
    <row r="522">
      <c r="A522" s="11" t="n"/>
      <c r="B522" s="9">
        <f>IF(A522="","",IFERROR(INDEX(Lists!$G$2:$G$7,MATCH(A522,Lists!$F$2:$F$7,0)),"?"))</f>
        <v/>
      </c>
      <c r="C522" s="4" t="n"/>
      <c r="D522" s="4" t="n"/>
      <c r="E522" s="4" t="n"/>
      <c r="F522" s="11" t="n"/>
      <c r="G522" s="4" t="n"/>
      <c r="H522" s="11" t="n"/>
      <c r="I522" s="11" t="n"/>
      <c r="J522" s="9">
        <f>IF(OR(F522="",H522=""),"",IF(F522&gt;H522,E522,IF(H522&gt;F522,G522,"")))</f>
        <v/>
      </c>
      <c r="K522" s="4" t="n"/>
      <c r="L522" s="9">
        <f>IF(COUNTA(A522,C522,D522,E522,F522,G522,H522,I522)=0,"",IF(OR(A522="",C522="",E522="",G522=""),"Missing week/class/team",IF(AND(D522="",I522&lt;&gt;"Y"),"No chapter (forfeit?)",IF(AND(D522&lt;&gt;"",I522="Y"),"Forfeit has a chapter",IF(OR(F522="",H522=""),"Missing score",IF(F522=H522,"Tie score",IF(COUNTIFS($A$2:$A$801,A522,$E$2:$E$801,E522)+COUNTIFS($A$2:$A$801,A522,$G$2:$G$801,E522)&gt;1,"Team 1 listed twice this week",IF(COUNTIFS($A$2:$A$801,A522,$E$2:$E$801,G522)+COUNTIFS($A$2:$A$801,A522,$G$2:$G$801,G522)&gt;1,"Team 2 listed twice this week",""))))))))</f>
        <v/>
      </c>
    </row>
    <row r="523">
      <c r="A523" s="11" t="n"/>
      <c r="B523" s="9">
        <f>IF(A523="","",IFERROR(INDEX(Lists!$G$2:$G$7,MATCH(A523,Lists!$F$2:$F$7,0)),"?"))</f>
        <v/>
      </c>
      <c r="C523" s="4" t="n"/>
      <c r="D523" s="4" t="n"/>
      <c r="E523" s="4" t="n"/>
      <c r="F523" s="11" t="n"/>
      <c r="G523" s="4" t="n"/>
      <c r="H523" s="11" t="n"/>
      <c r="I523" s="11" t="n"/>
      <c r="J523" s="9">
        <f>IF(OR(F523="",H523=""),"",IF(F523&gt;H523,E523,IF(H523&gt;F523,G523,"")))</f>
        <v/>
      </c>
      <c r="K523" s="4" t="n"/>
      <c r="L523" s="9">
        <f>IF(COUNTA(A523,C523,D523,E523,F523,G523,H523,I523)=0,"",IF(OR(A523="",C523="",E523="",G523=""),"Missing week/class/team",IF(AND(D523="",I523&lt;&gt;"Y"),"No chapter (forfeit?)",IF(AND(D523&lt;&gt;"",I523="Y"),"Forfeit has a chapter",IF(OR(F523="",H523=""),"Missing score",IF(F523=H523,"Tie score",IF(COUNTIFS($A$2:$A$801,A523,$E$2:$E$801,E523)+COUNTIFS($A$2:$A$801,A523,$G$2:$G$801,E523)&gt;1,"Team 1 listed twice this week",IF(COUNTIFS($A$2:$A$801,A523,$E$2:$E$801,G523)+COUNTIFS($A$2:$A$801,A523,$G$2:$G$801,G523)&gt;1,"Team 2 listed twice this week",""))))))))</f>
        <v/>
      </c>
    </row>
    <row r="524">
      <c r="A524" s="11" t="n"/>
      <c r="B524" s="9">
        <f>IF(A524="","",IFERROR(INDEX(Lists!$G$2:$G$7,MATCH(A524,Lists!$F$2:$F$7,0)),"?"))</f>
        <v/>
      </c>
      <c r="C524" s="4" t="n"/>
      <c r="D524" s="4" t="n"/>
      <c r="E524" s="4" t="n"/>
      <c r="F524" s="11" t="n"/>
      <c r="G524" s="4" t="n"/>
      <c r="H524" s="11" t="n"/>
      <c r="I524" s="11" t="n"/>
      <c r="J524" s="9">
        <f>IF(OR(F524="",H524=""),"",IF(F524&gt;H524,E524,IF(H524&gt;F524,G524,"")))</f>
        <v/>
      </c>
      <c r="K524" s="4" t="n"/>
      <c r="L524" s="9">
        <f>IF(COUNTA(A524,C524,D524,E524,F524,G524,H524,I524)=0,"",IF(OR(A524="",C524="",E524="",G524=""),"Missing week/class/team",IF(AND(D524="",I524&lt;&gt;"Y"),"No chapter (forfeit?)",IF(AND(D524&lt;&gt;"",I524="Y"),"Forfeit has a chapter",IF(OR(F524="",H524=""),"Missing score",IF(F524=H524,"Tie score",IF(COUNTIFS($A$2:$A$801,A524,$E$2:$E$801,E524)+COUNTIFS($A$2:$A$801,A524,$G$2:$G$801,E524)&gt;1,"Team 1 listed twice this week",IF(COUNTIFS($A$2:$A$801,A524,$E$2:$E$801,G524)+COUNTIFS($A$2:$A$801,A524,$G$2:$G$801,G524)&gt;1,"Team 2 listed twice this week",""))))))))</f>
        <v/>
      </c>
    </row>
    <row r="525">
      <c r="A525" s="11" t="n"/>
      <c r="B525" s="9">
        <f>IF(A525="","",IFERROR(INDEX(Lists!$G$2:$G$7,MATCH(A525,Lists!$F$2:$F$7,0)),"?"))</f>
        <v/>
      </c>
      <c r="C525" s="4" t="n"/>
      <c r="D525" s="4" t="n"/>
      <c r="E525" s="4" t="n"/>
      <c r="F525" s="11" t="n"/>
      <c r="G525" s="4" t="n"/>
      <c r="H525" s="11" t="n"/>
      <c r="I525" s="11" t="n"/>
      <c r="J525" s="9">
        <f>IF(OR(F525="",H525=""),"",IF(F525&gt;H525,E525,IF(H525&gt;F525,G525,"")))</f>
        <v/>
      </c>
      <c r="K525" s="4" t="n"/>
      <c r="L525" s="9">
        <f>IF(COUNTA(A525,C525,D525,E525,F525,G525,H525,I525)=0,"",IF(OR(A525="",C525="",E525="",G525=""),"Missing week/class/team",IF(AND(D525="",I525&lt;&gt;"Y"),"No chapter (forfeit?)",IF(AND(D525&lt;&gt;"",I525="Y"),"Forfeit has a chapter",IF(OR(F525="",H525=""),"Missing score",IF(F525=H525,"Tie score",IF(COUNTIFS($A$2:$A$801,A525,$E$2:$E$801,E525)+COUNTIFS($A$2:$A$801,A525,$G$2:$G$801,E525)&gt;1,"Team 1 listed twice this week",IF(COUNTIFS($A$2:$A$801,A525,$E$2:$E$801,G525)+COUNTIFS($A$2:$A$801,A525,$G$2:$G$801,G525)&gt;1,"Team 2 listed twice this week",""))))))))</f>
        <v/>
      </c>
    </row>
    <row r="526">
      <c r="A526" s="11" t="n"/>
      <c r="B526" s="9">
        <f>IF(A526="","",IFERROR(INDEX(Lists!$G$2:$G$7,MATCH(A526,Lists!$F$2:$F$7,0)),"?"))</f>
        <v/>
      </c>
      <c r="C526" s="4" t="n"/>
      <c r="D526" s="4" t="n"/>
      <c r="E526" s="4" t="n"/>
      <c r="F526" s="11" t="n"/>
      <c r="G526" s="4" t="n"/>
      <c r="H526" s="11" t="n"/>
      <c r="I526" s="11" t="n"/>
      <c r="J526" s="9">
        <f>IF(OR(F526="",H526=""),"",IF(F526&gt;H526,E526,IF(H526&gt;F526,G526,"")))</f>
        <v/>
      </c>
      <c r="K526" s="4" t="n"/>
      <c r="L526" s="9">
        <f>IF(COUNTA(A526,C526,D526,E526,F526,G526,H526,I526)=0,"",IF(OR(A526="",C526="",E526="",G526=""),"Missing week/class/team",IF(AND(D526="",I526&lt;&gt;"Y"),"No chapter (forfeit?)",IF(AND(D526&lt;&gt;"",I526="Y"),"Forfeit has a chapter",IF(OR(F526="",H526=""),"Missing score",IF(F526=H526,"Tie score",IF(COUNTIFS($A$2:$A$801,A526,$E$2:$E$801,E526)+COUNTIFS($A$2:$A$801,A526,$G$2:$G$801,E526)&gt;1,"Team 1 listed twice this week",IF(COUNTIFS($A$2:$A$801,A526,$E$2:$E$801,G526)+COUNTIFS($A$2:$A$801,A526,$G$2:$G$801,G526)&gt;1,"Team 2 listed twice this week",""))))))))</f>
        <v/>
      </c>
    </row>
    <row r="527">
      <c r="A527" s="11" t="n"/>
      <c r="B527" s="9">
        <f>IF(A527="","",IFERROR(INDEX(Lists!$G$2:$G$7,MATCH(A527,Lists!$F$2:$F$7,0)),"?"))</f>
        <v/>
      </c>
      <c r="C527" s="4" t="n"/>
      <c r="D527" s="4" t="n"/>
      <c r="E527" s="4" t="n"/>
      <c r="F527" s="11" t="n"/>
      <c r="G527" s="4" t="n"/>
      <c r="H527" s="11" t="n"/>
      <c r="I527" s="11" t="n"/>
      <c r="J527" s="9">
        <f>IF(OR(F527="",H527=""),"",IF(F527&gt;H527,E527,IF(H527&gt;F527,G527,"")))</f>
        <v/>
      </c>
      <c r="K527" s="4" t="n"/>
      <c r="L527" s="9">
        <f>IF(COUNTA(A527,C527,D527,E527,F527,G527,H527,I527)=0,"",IF(OR(A527="",C527="",E527="",G527=""),"Missing week/class/team",IF(AND(D527="",I527&lt;&gt;"Y"),"No chapter (forfeit?)",IF(AND(D527&lt;&gt;"",I527="Y"),"Forfeit has a chapter",IF(OR(F527="",H527=""),"Missing score",IF(F527=H527,"Tie score",IF(COUNTIFS($A$2:$A$801,A527,$E$2:$E$801,E527)+COUNTIFS($A$2:$A$801,A527,$G$2:$G$801,E527)&gt;1,"Team 1 listed twice this week",IF(COUNTIFS($A$2:$A$801,A527,$E$2:$E$801,G527)+COUNTIFS($A$2:$A$801,A527,$G$2:$G$801,G527)&gt;1,"Team 2 listed twice this week",""))))))))</f>
        <v/>
      </c>
    </row>
    <row r="528">
      <c r="A528" s="11" t="n"/>
      <c r="B528" s="9">
        <f>IF(A528="","",IFERROR(INDEX(Lists!$G$2:$G$7,MATCH(A528,Lists!$F$2:$F$7,0)),"?"))</f>
        <v/>
      </c>
      <c r="C528" s="4" t="n"/>
      <c r="D528" s="4" t="n"/>
      <c r="E528" s="4" t="n"/>
      <c r="F528" s="11" t="n"/>
      <c r="G528" s="4" t="n"/>
      <c r="H528" s="11" t="n"/>
      <c r="I528" s="11" t="n"/>
      <c r="J528" s="9">
        <f>IF(OR(F528="",H528=""),"",IF(F528&gt;H528,E528,IF(H528&gt;F528,G528,"")))</f>
        <v/>
      </c>
      <c r="K528" s="4" t="n"/>
      <c r="L528" s="9">
        <f>IF(COUNTA(A528,C528,D528,E528,F528,G528,H528,I528)=0,"",IF(OR(A528="",C528="",E528="",G528=""),"Missing week/class/team",IF(AND(D528="",I528&lt;&gt;"Y"),"No chapter (forfeit?)",IF(AND(D528&lt;&gt;"",I528="Y"),"Forfeit has a chapter",IF(OR(F528="",H528=""),"Missing score",IF(F528=H528,"Tie score",IF(COUNTIFS($A$2:$A$801,A528,$E$2:$E$801,E528)+COUNTIFS($A$2:$A$801,A528,$G$2:$G$801,E528)&gt;1,"Team 1 listed twice this week",IF(COUNTIFS($A$2:$A$801,A528,$E$2:$E$801,G528)+COUNTIFS($A$2:$A$801,A528,$G$2:$G$801,G528)&gt;1,"Team 2 listed twice this week",""))))))))</f>
        <v/>
      </c>
    </row>
    <row r="529">
      <c r="A529" s="11" t="n"/>
      <c r="B529" s="9">
        <f>IF(A529="","",IFERROR(INDEX(Lists!$G$2:$G$7,MATCH(A529,Lists!$F$2:$F$7,0)),"?"))</f>
        <v/>
      </c>
      <c r="C529" s="4" t="n"/>
      <c r="D529" s="4" t="n"/>
      <c r="E529" s="4" t="n"/>
      <c r="F529" s="11" t="n"/>
      <c r="G529" s="4" t="n"/>
      <c r="H529" s="11" t="n"/>
      <c r="I529" s="11" t="n"/>
      <c r="J529" s="9">
        <f>IF(OR(F529="",H529=""),"",IF(F529&gt;H529,E529,IF(H529&gt;F529,G529,"")))</f>
        <v/>
      </c>
      <c r="K529" s="4" t="n"/>
      <c r="L529" s="9">
        <f>IF(COUNTA(A529,C529,D529,E529,F529,G529,H529,I529)=0,"",IF(OR(A529="",C529="",E529="",G529=""),"Missing week/class/team",IF(AND(D529="",I529&lt;&gt;"Y"),"No chapter (forfeit?)",IF(AND(D529&lt;&gt;"",I529="Y"),"Forfeit has a chapter",IF(OR(F529="",H529=""),"Missing score",IF(F529=H529,"Tie score",IF(COUNTIFS($A$2:$A$801,A529,$E$2:$E$801,E529)+COUNTIFS($A$2:$A$801,A529,$G$2:$G$801,E529)&gt;1,"Team 1 listed twice this week",IF(COUNTIFS($A$2:$A$801,A529,$E$2:$E$801,G529)+COUNTIFS($A$2:$A$801,A529,$G$2:$G$801,G529)&gt;1,"Team 2 listed twice this week",""))))))))</f>
        <v/>
      </c>
    </row>
    <row r="530">
      <c r="A530" s="11" t="n"/>
      <c r="B530" s="9">
        <f>IF(A530="","",IFERROR(INDEX(Lists!$G$2:$G$7,MATCH(A530,Lists!$F$2:$F$7,0)),"?"))</f>
        <v/>
      </c>
      <c r="C530" s="4" t="n"/>
      <c r="D530" s="4" t="n"/>
      <c r="E530" s="4" t="n"/>
      <c r="F530" s="11" t="n"/>
      <c r="G530" s="4" t="n"/>
      <c r="H530" s="11" t="n"/>
      <c r="I530" s="11" t="n"/>
      <c r="J530" s="9">
        <f>IF(OR(F530="",H530=""),"",IF(F530&gt;H530,E530,IF(H530&gt;F530,G530,"")))</f>
        <v/>
      </c>
      <c r="K530" s="4" t="n"/>
      <c r="L530" s="9">
        <f>IF(COUNTA(A530,C530,D530,E530,F530,G530,H530,I530)=0,"",IF(OR(A530="",C530="",E530="",G530=""),"Missing week/class/team",IF(AND(D530="",I530&lt;&gt;"Y"),"No chapter (forfeit?)",IF(AND(D530&lt;&gt;"",I530="Y"),"Forfeit has a chapter",IF(OR(F530="",H530=""),"Missing score",IF(F530=H530,"Tie score",IF(COUNTIFS($A$2:$A$801,A530,$E$2:$E$801,E530)+COUNTIFS($A$2:$A$801,A530,$G$2:$G$801,E530)&gt;1,"Team 1 listed twice this week",IF(COUNTIFS($A$2:$A$801,A530,$E$2:$E$801,G530)+COUNTIFS($A$2:$A$801,A530,$G$2:$G$801,G530)&gt;1,"Team 2 listed twice this week",""))))))))</f>
        <v/>
      </c>
    </row>
    <row r="531">
      <c r="A531" s="11" t="n"/>
      <c r="B531" s="9">
        <f>IF(A531="","",IFERROR(INDEX(Lists!$G$2:$G$7,MATCH(A531,Lists!$F$2:$F$7,0)),"?"))</f>
        <v/>
      </c>
      <c r="C531" s="4" t="n"/>
      <c r="D531" s="4" t="n"/>
      <c r="E531" s="4" t="n"/>
      <c r="F531" s="11" t="n"/>
      <c r="G531" s="4" t="n"/>
      <c r="H531" s="11" t="n"/>
      <c r="I531" s="11" t="n"/>
      <c r="J531" s="9">
        <f>IF(OR(F531="",H531=""),"",IF(F531&gt;H531,E531,IF(H531&gt;F531,G531,"")))</f>
        <v/>
      </c>
      <c r="K531" s="4" t="n"/>
      <c r="L531" s="9">
        <f>IF(COUNTA(A531,C531,D531,E531,F531,G531,H531,I531)=0,"",IF(OR(A531="",C531="",E531="",G531=""),"Missing week/class/team",IF(AND(D531="",I531&lt;&gt;"Y"),"No chapter (forfeit?)",IF(AND(D531&lt;&gt;"",I531="Y"),"Forfeit has a chapter",IF(OR(F531="",H531=""),"Missing score",IF(F531=H531,"Tie score",IF(COUNTIFS($A$2:$A$801,A531,$E$2:$E$801,E531)+COUNTIFS($A$2:$A$801,A531,$G$2:$G$801,E531)&gt;1,"Team 1 listed twice this week",IF(COUNTIFS($A$2:$A$801,A531,$E$2:$E$801,G531)+COUNTIFS($A$2:$A$801,A531,$G$2:$G$801,G531)&gt;1,"Team 2 listed twice this week",""))))))))</f>
        <v/>
      </c>
    </row>
    <row r="532">
      <c r="A532" s="11" t="n"/>
      <c r="B532" s="9">
        <f>IF(A532="","",IFERROR(INDEX(Lists!$G$2:$G$7,MATCH(A532,Lists!$F$2:$F$7,0)),"?"))</f>
        <v/>
      </c>
      <c r="C532" s="4" t="n"/>
      <c r="D532" s="4" t="n"/>
      <c r="E532" s="4" t="n"/>
      <c r="F532" s="11" t="n"/>
      <c r="G532" s="4" t="n"/>
      <c r="H532" s="11" t="n"/>
      <c r="I532" s="11" t="n"/>
      <c r="J532" s="9">
        <f>IF(OR(F532="",H532=""),"",IF(F532&gt;H532,E532,IF(H532&gt;F532,G532,"")))</f>
        <v/>
      </c>
      <c r="K532" s="4" t="n"/>
      <c r="L532" s="9">
        <f>IF(COUNTA(A532,C532,D532,E532,F532,G532,H532,I532)=0,"",IF(OR(A532="",C532="",E532="",G532=""),"Missing week/class/team",IF(AND(D532="",I532&lt;&gt;"Y"),"No chapter (forfeit?)",IF(AND(D532&lt;&gt;"",I532="Y"),"Forfeit has a chapter",IF(OR(F532="",H532=""),"Missing score",IF(F532=H532,"Tie score",IF(COUNTIFS($A$2:$A$801,A532,$E$2:$E$801,E532)+COUNTIFS($A$2:$A$801,A532,$G$2:$G$801,E532)&gt;1,"Team 1 listed twice this week",IF(COUNTIFS($A$2:$A$801,A532,$E$2:$E$801,G532)+COUNTIFS($A$2:$A$801,A532,$G$2:$G$801,G532)&gt;1,"Team 2 listed twice this week",""))))))))</f>
        <v/>
      </c>
    </row>
    <row r="533">
      <c r="A533" s="11" t="n"/>
      <c r="B533" s="9">
        <f>IF(A533="","",IFERROR(INDEX(Lists!$G$2:$G$7,MATCH(A533,Lists!$F$2:$F$7,0)),"?"))</f>
        <v/>
      </c>
      <c r="C533" s="4" t="n"/>
      <c r="D533" s="4" t="n"/>
      <c r="E533" s="4" t="n"/>
      <c r="F533" s="11" t="n"/>
      <c r="G533" s="4" t="n"/>
      <c r="H533" s="11" t="n"/>
      <c r="I533" s="11" t="n"/>
      <c r="J533" s="9">
        <f>IF(OR(F533="",H533=""),"",IF(F533&gt;H533,E533,IF(H533&gt;F533,G533,"")))</f>
        <v/>
      </c>
      <c r="K533" s="4" t="n"/>
      <c r="L533" s="9">
        <f>IF(COUNTA(A533,C533,D533,E533,F533,G533,H533,I533)=0,"",IF(OR(A533="",C533="",E533="",G533=""),"Missing week/class/team",IF(AND(D533="",I533&lt;&gt;"Y"),"No chapter (forfeit?)",IF(AND(D533&lt;&gt;"",I533="Y"),"Forfeit has a chapter",IF(OR(F533="",H533=""),"Missing score",IF(F533=H533,"Tie score",IF(COUNTIFS($A$2:$A$801,A533,$E$2:$E$801,E533)+COUNTIFS($A$2:$A$801,A533,$G$2:$G$801,E533)&gt;1,"Team 1 listed twice this week",IF(COUNTIFS($A$2:$A$801,A533,$E$2:$E$801,G533)+COUNTIFS($A$2:$A$801,A533,$G$2:$G$801,G533)&gt;1,"Team 2 listed twice this week",""))))))))</f>
        <v/>
      </c>
    </row>
    <row r="534">
      <c r="A534" s="11" t="n"/>
      <c r="B534" s="9">
        <f>IF(A534="","",IFERROR(INDEX(Lists!$G$2:$G$7,MATCH(A534,Lists!$F$2:$F$7,0)),"?"))</f>
        <v/>
      </c>
      <c r="C534" s="4" t="n"/>
      <c r="D534" s="4" t="n"/>
      <c r="E534" s="4" t="n"/>
      <c r="F534" s="11" t="n"/>
      <c r="G534" s="4" t="n"/>
      <c r="H534" s="11" t="n"/>
      <c r="I534" s="11" t="n"/>
      <c r="J534" s="9">
        <f>IF(OR(F534="",H534=""),"",IF(F534&gt;H534,E534,IF(H534&gt;F534,G534,"")))</f>
        <v/>
      </c>
      <c r="K534" s="4" t="n"/>
      <c r="L534" s="9">
        <f>IF(COUNTA(A534,C534,D534,E534,F534,G534,H534,I534)=0,"",IF(OR(A534="",C534="",E534="",G534=""),"Missing week/class/team",IF(AND(D534="",I534&lt;&gt;"Y"),"No chapter (forfeit?)",IF(AND(D534&lt;&gt;"",I534="Y"),"Forfeit has a chapter",IF(OR(F534="",H534=""),"Missing score",IF(F534=H534,"Tie score",IF(COUNTIFS($A$2:$A$801,A534,$E$2:$E$801,E534)+COUNTIFS($A$2:$A$801,A534,$G$2:$G$801,E534)&gt;1,"Team 1 listed twice this week",IF(COUNTIFS($A$2:$A$801,A534,$E$2:$E$801,G534)+COUNTIFS($A$2:$A$801,A534,$G$2:$G$801,G534)&gt;1,"Team 2 listed twice this week",""))))))))</f>
        <v/>
      </c>
    </row>
    <row r="535">
      <c r="A535" s="11" t="n"/>
      <c r="B535" s="9">
        <f>IF(A535="","",IFERROR(INDEX(Lists!$G$2:$G$7,MATCH(A535,Lists!$F$2:$F$7,0)),"?"))</f>
        <v/>
      </c>
      <c r="C535" s="4" t="n"/>
      <c r="D535" s="4" t="n"/>
      <c r="E535" s="4" t="n"/>
      <c r="F535" s="11" t="n"/>
      <c r="G535" s="4" t="n"/>
      <c r="H535" s="11" t="n"/>
      <c r="I535" s="11" t="n"/>
      <c r="J535" s="9">
        <f>IF(OR(F535="",H535=""),"",IF(F535&gt;H535,E535,IF(H535&gt;F535,G535,"")))</f>
        <v/>
      </c>
      <c r="K535" s="4" t="n"/>
      <c r="L535" s="9">
        <f>IF(COUNTA(A535,C535,D535,E535,F535,G535,H535,I535)=0,"",IF(OR(A535="",C535="",E535="",G535=""),"Missing week/class/team",IF(AND(D535="",I535&lt;&gt;"Y"),"No chapter (forfeit?)",IF(AND(D535&lt;&gt;"",I535="Y"),"Forfeit has a chapter",IF(OR(F535="",H535=""),"Missing score",IF(F535=H535,"Tie score",IF(COUNTIFS($A$2:$A$801,A535,$E$2:$E$801,E535)+COUNTIFS($A$2:$A$801,A535,$G$2:$G$801,E535)&gt;1,"Team 1 listed twice this week",IF(COUNTIFS($A$2:$A$801,A535,$E$2:$E$801,G535)+COUNTIFS($A$2:$A$801,A535,$G$2:$G$801,G535)&gt;1,"Team 2 listed twice this week",""))))))))</f>
        <v/>
      </c>
    </row>
    <row r="536">
      <c r="A536" s="11" t="n"/>
      <c r="B536" s="9">
        <f>IF(A536="","",IFERROR(INDEX(Lists!$G$2:$G$7,MATCH(A536,Lists!$F$2:$F$7,0)),"?"))</f>
        <v/>
      </c>
      <c r="C536" s="4" t="n"/>
      <c r="D536" s="4" t="n"/>
      <c r="E536" s="4" t="n"/>
      <c r="F536" s="11" t="n"/>
      <c r="G536" s="4" t="n"/>
      <c r="H536" s="11" t="n"/>
      <c r="I536" s="11" t="n"/>
      <c r="J536" s="9">
        <f>IF(OR(F536="",H536=""),"",IF(F536&gt;H536,E536,IF(H536&gt;F536,G536,"")))</f>
        <v/>
      </c>
      <c r="K536" s="4" t="n"/>
      <c r="L536" s="9">
        <f>IF(COUNTA(A536,C536,D536,E536,F536,G536,H536,I536)=0,"",IF(OR(A536="",C536="",E536="",G536=""),"Missing week/class/team",IF(AND(D536="",I536&lt;&gt;"Y"),"No chapter (forfeit?)",IF(AND(D536&lt;&gt;"",I536="Y"),"Forfeit has a chapter",IF(OR(F536="",H536=""),"Missing score",IF(F536=H536,"Tie score",IF(COUNTIFS($A$2:$A$801,A536,$E$2:$E$801,E536)+COUNTIFS($A$2:$A$801,A536,$G$2:$G$801,E536)&gt;1,"Team 1 listed twice this week",IF(COUNTIFS($A$2:$A$801,A536,$E$2:$E$801,G536)+COUNTIFS($A$2:$A$801,A536,$G$2:$G$801,G536)&gt;1,"Team 2 listed twice this week",""))))))))</f>
        <v/>
      </c>
    </row>
    <row r="537">
      <c r="A537" s="11" t="n"/>
      <c r="B537" s="9">
        <f>IF(A537="","",IFERROR(INDEX(Lists!$G$2:$G$7,MATCH(A537,Lists!$F$2:$F$7,0)),"?"))</f>
        <v/>
      </c>
      <c r="C537" s="4" t="n"/>
      <c r="D537" s="4" t="n"/>
      <c r="E537" s="4" t="n"/>
      <c r="F537" s="11" t="n"/>
      <c r="G537" s="4" t="n"/>
      <c r="H537" s="11" t="n"/>
      <c r="I537" s="11" t="n"/>
      <c r="J537" s="9">
        <f>IF(OR(F537="",H537=""),"",IF(F537&gt;H537,E537,IF(H537&gt;F537,G537,"")))</f>
        <v/>
      </c>
      <c r="K537" s="4" t="n"/>
      <c r="L537" s="9">
        <f>IF(COUNTA(A537,C537,D537,E537,F537,G537,H537,I537)=0,"",IF(OR(A537="",C537="",E537="",G537=""),"Missing week/class/team",IF(AND(D537="",I537&lt;&gt;"Y"),"No chapter (forfeit?)",IF(AND(D537&lt;&gt;"",I537="Y"),"Forfeit has a chapter",IF(OR(F537="",H537=""),"Missing score",IF(F537=H537,"Tie score",IF(COUNTIFS($A$2:$A$801,A537,$E$2:$E$801,E537)+COUNTIFS($A$2:$A$801,A537,$G$2:$G$801,E537)&gt;1,"Team 1 listed twice this week",IF(COUNTIFS($A$2:$A$801,A537,$E$2:$E$801,G537)+COUNTIFS($A$2:$A$801,A537,$G$2:$G$801,G537)&gt;1,"Team 2 listed twice this week",""))))))))</f>
        <v/>
      </c>
    </row>
    <row r="538">
      <c r="A538" s="11" t="n"/>
      <c r="B538" s="9">
        <f>IF(A538="","",IFERROR(INDEX(Lists!$G$2:$G$7,MATCH(A538,Lists!$F$2:$F$7,0)),"?"))</f>
        <v/>
      </c>
      <c r="C538" s="4" t="n"/>
      <c r="D538" s="4" t="n"/>
      <c r="E538" s="4" t="n"/>
      <c r="F538" s="11" t="n"/>
      <c r="G538" s="4" t="n"/>
      <c r="H538" s="11" t="n"/>
      <c r="I538" s="11" t="n"/>
      <c r="J538" s="9">
        <f>IF(OR(F538="",H538=""),"",IF(F538&gt;H538,E538,IF(H538&gt;F538,G538,"")))</f>
        <v/>
      </c>
      <c r="K538" s="4" t="n"/>
      <c r="L538" s="9">
        <f>IF(COUNTA(A538,C538,D538,E538,F538,G538,H538,I538)=0,"",IF(OR(A538="",C538="",E538="",G538=""),"Missing week/class/team",IF(AND(D538="",I538&lt;&gt;"Y"),"No chapter (forfeit?)",IF(AND(D538&lt;&gt;"",I538="Y"),"Forfeit has a chapter",IF(OR(F538="",H538=""),"Missing score",IF(F538=H538,"Tie score",IF(COUNTIFS($A$2:$A$801,A538,$E$2:$E$801,E538)+COUNTIFS($A$2:$A$801,A538,$G$2:$G$801,E538)&gt;1,"Team 1 listed twice this week",IF(COUNTIFS($A$2:$A$801,A538,$E$2:$E$801,G538)+COUNTIFS($A$2:$A$801,A538,$G$2:$G$801,G538)&gt;1,"Team 2 listed twice this week",""))))))))</f>
        <v/>
      </c>
    </row>
    <row r="539">
      <c r="A539" s="11" t="n"/>
      <c r="B539" s="9">
        <f>IF(A539="","",IFERROR(INDEX(Lists!$G$2:$G$7,MATCH(A539,Lists!$F$2:$F$7,0)),"?"))</f>
        <v/>
      </c>
      <c r="C539" s="4" t="n"/>
      <c r="D539" s="4" t="n"/>
      <c r="E539" s="4" t="n"/>
      <c r="F539" s="11" t="n"/>
      <c r="G539" s="4" t="n"/>
      <c r="H539" s="11" t="n"/>
      <c r="I539" s="11" t="n"/>
      <c r="J539" s="9">
        <f>IF(OR(F539="",H539=""),"",IF(F539&gt;H539,E539,IF(H539&gt;F539,G539,"")))</f>
        <v/>
      </c>
      <c r="K539" s="4" t="n"/>
      <c r="L539" s="9">
        <f>IF(COUNTA(A539,C539,D539,E539,F539,G539,H539,I539)=0,"",IF(OR(A539="",C539="",E539="",G539=""),"Missing week/class/team",IF(AND(D539="",I539&lt;&gt;"Y"),"No chapter (forfeit?)",IF(AND(D539&lt;&gt;"",I539="Y"),"Forfeit has a chapter",IF(OR(F539="",H539=""),"Missing score",IF(F539=H539,"Tie score",IF(COUNTIFS($A$2:$A$801,A539,$E$2:$E$801,E539)+COUNTIFS($A$2:$A$801,A539,$G$2:$G$801,E539)&gt;1,"Team 1 listed twice this week",IF(COUNTIFS($A$2:$A$801,A539,$E$2:$E$801,G539)+COUNTIFS($A$2:$A$801,A539,$G$2:$G$801,G539)&gt;1,"Team 2 listed twice this week",""))))))))</f>
        <v/>
      </c>
    </row>
    <row r="540">
      <c r="A540" s="11" t="n"/>
      <c r="B540" s="9">
        <f>IF(A540="","",IFERROR(INDEX(Lists!$G$2:$G$7,MATCH(A540,Lists!$F$2:$F$7,0)),"?"))</f>
        <v/>
      </c>
      <c r="C540" s="4" t="n"/>
      <c r="D540" s="4" t="n"/>
      <c r="E540" s="4" t="n"/>
      <c r="F540" s="11" t="n"/>
      <c r="G540" s="4" t="n"/>
      <c r="H540" s="11" t="n"/>
      <c r="I540" s="11" t="n"/>
      <c r="J540" s="9">
        <f>IF(OR(F540="",H540=""),"",IF(F540&gt;H540,E540,IF(H540&gt;F540,G540,"")))</f>
        <v/>
      </c>
      <c r="K540" s="4" t="n"/>
      <c r="L540" s="9">
        <f>IF(COUNTA(A540,C540,D540,E540,F540,G540,H540,I540)=0,"",IF(OR(A540="",C540="",E540="",G540=""),"Missing week/class/team",IF(AND(D540="",I540&lt;&gt;"Y"),"No chapter (forfeit?)",IF(AND(D540&lt;&gt;"",I540="Y"),"Forfeit has a chapter",IF(OR(F540="",H540=""),"Missing score",IF(F540=H540,"Tie score",IF(COUNTIFS($A$2:$A$801,A540,$E$2:$E$801,E540)+COUNTIFS($A$2:$A$801,A540,$G$2:$G$801,E540)&gt;1,"Team 1 listed twice this week",IF(COUNTIFS($A$2:$A$801,A540,$E$2:$E$801,G540)+COUNTIFS($A$2:$A$801,A540,$G$2:$G$801,G540)&gt;1,"Team 2 listed twice this week",""))))))))</f>
        <v/>
      </c>
    </row>
    <row r="541">
      <c r="A541" s="11" t="n"/>
      <c r="B541" s="9">
        <f>IF(A541="","",IFERROR(INDEX(Lists!$G$2:$G$7,MATCH(A541,Lists!$F$2:$F$7,0)),"?"))</f>
        <v/>
      </c>
      <c r="C541" s="4" t="n"/>
      <c r="D541" s="4" t="n"/>
      <c r="E541" s="4" t="n"/>
      <c r="F541" s="11" t="n"/>
      <c r="G541" s="4" t="n"/>
      <c r="H541" s="11" t="n"/>
      <c r="I541" s="11" t="n"/>
      <c r="J541" s="9">
        <f>IF(OR(F541="",H541=""),"",IF(F541&gt;H541,E541,IF(H541&gt;F541,G541,"")))</f>
        <v/>
      </c>
      <c r="K541" s="4" t="n"/>
      <c r="L541" s="9">
        <f>IF(COUNTA(A541,C541,D541,E541,F541,G541,H541,I541)=0,"",IF(OR(A541="",C541="",E541="",G541=""),"Missing week/class/team",IF(AND(D541="",I541&lt;&gt;"Y"),"No chapter (forfeit?)",IF(AND(D541&lt;&gt;"",I541="Y"),"Forfeit has a chapter",IF(OR(F541="",H541=""),"Missing score",IF(F541=H541,"Tie score",IF(COUNTIFS($A$2:$A$801,A541,$E$2:$E$801,E541)+COUNTIFS($A$2:$A$801,A541,$G$2:$G$801,E541)&gt;1,"Team 1 listed twice this week",IF(COUNTIFS($A$2:$A$801,A541,$E$2:$E$801,G541)+COUNTIFS($A$2:$A$801,A541,$G$2:$G$801,G541)&gt;1,"Team 2 listed twice this week",""))))))))</f>
        <v/>
      </c>
    </row>
    <row r="542">
      <c r="A542" s="11" t="n"/>
      <c r="B542" s="9">
        <f>IF(A542="","",IFERROR(INDEX(Lists!$G$2:$G$7,MATCH(A542,Lists!$F$2:$F$7,0)),"?"))</f>
        <v/>
      </c>
      <c r="C542" s="4" t="n"/>
      <c r="D542" s="4" t="n"/>
      <c r="E542" s="4" t="n"/>
      <c r="F542" s="11" t="n"/>
      <c r="G542" s="4" t="n"/>
      <c r="H542" s="11" t="n"/>
      <c r="I542" s="11" t="n"/>
      <c r="J542" s="9">
        <f>IF(OR(F542="",H542=""),"",IF(F542&gt;H542,E542,IF(H542&gt;F542,G542,"")))</f>
        <v/>
      </c>
      <c r="K542" s="4" t="n"/>
      <c r="L542" s="9">
        <f>IF(COUNTA(A542,C542,D542,E542,F542,G542,H542,I542)=0,"",IF(OR(A542="",C542="",E542="",G542=""),"Missing week/class/team",IF(AND(D542="",I542&lt;&gt;"Y"),"No chapter (forfeit?)",IF(AND(D542&lt;&gt;"",I542="Y"),"Forfeit has a chapter",IF(OR(F542="",H542=""),"Missing score",IF(F542=H542,"Tie score",IF(COUNTIFS($A$2:$A$801,A542,$E$2:$E$801,E542)+COUNTIFS($A$2:$A$801,A542,$G$2:$G$801,E542)&gt;1,"Team 1 listed twice this week",IF(COUNTIFS($A$2:$A$801,A542,$E$2:$E$801,G542)+COUNTIFS($A$2:$A$801,A542,$G$2:$G$801,G542)&gt;1,"Team 2 listed twice this week",""))))))))</f>
        <v/>
      </c>
    </row>
    <row r="543">
      <c r="A543" s="11" t="n"/>
      <c r="B543" s="9">
        <f>IF(A543="","",IFERROR(INDEX(Lists!$G$2:$G$7,MATCH(A543,Lists!$F$2:$F$7,0)),"?"))</f>
        <v/>
      </c>
      <c r="C543" s="4" t="n"/>
      <c r="D543" s="4" t="n"/>
      <c r="E543" s="4" t="n"/>
      <c r="F543" s="11" t="n"/>
      <c r="G543" s="4" t="n"/>
      <c r="H543" s="11" t="n"/>
      <c r="I543" s="11" t="n"/>
      <c r="J543" s="9">
        <f>IF(OR(F543="",H543=""),"",IF(F543&gt;H543,E543,IF(H543&gt;F543,G543,"")))</f>
        <v/>
      </c>
      <c r="K543" s="4" t="n"/>
      <c r="L543" s="9">
        <f>IF(COUNTA(A543,C543,D543,E543,F543,G543,H543,I543)=0,"",IF(OR(A543="",C543="",E543="",G543=""),"Missing week/class/team",IF(AND(D543="",I543&lt;&gt;"Y"),"No chapter (forfeit?)",IF(AND(D543&lt;&gt;"",I543="Y"),"Forfeit has a chapter",IF(OR(F543="",H543=""),"Missing score",IF(F543=H543,"Tie score",IF(COUNTIFS($A$2:$A$801,A543,$E$2:$E$801,E543)+COUNTIFS($A$2:$A$801,A543,$G$2:$G$801,E543)&gt;1,"Team 1 listed twice this week",IF(COUNTIFS($A$2:$A$801,A543,$E$2:$E$801,G543)+COUNTIFS($A$2:$A$801,A543,$G$2:$G$801,G543)&gt;1,"Team 2 listed twice this week",""))))))))</f>
        <v/>
      </c>
    </row>
    <row r="544">
      <c r="A544" s="11" t="n"/>
      <c r="B544" s="9">
        <f>IF(A544="","",IFERROR(INDEX(Lists!$G$2:$G$7,MATCH(A544,Lists!$F$2:$F$7,0)),"?"))</f>
        <v/>
      </c>
      <c r="C544" s="4" t="n"/>
      <c r="D544" s="4" t="n"/>
      <c r="E544" s="4" t="n"/>
      <c r="F544" s="11" t="n"/>
      <c r="G544" s="4" t="n"/>
      <c r="H544" s="11" t="n"/>
      <c r="I544" s="11" t="n"/>
      <c r="J544" s="9">
        <f>IF(OR(F544="",H544=""),"",IF(F544&gt;H544,E544,IF(H544&gt;F544,G544,"")))</f>
        <v/>
      </c>
      <c r="K544" s="4" t="n"/>
      <c r="L544" s="9">
        <f>IF(COUNTA(A544,C544,D544,E544,F544,G544,H544,I544)=0,"",IF(OR(A544="",C544="",E544="",G544=""),"Missing week/class/team",IF(AND(D544="",I544&lt;&gt;"Y"),"No chapter (forfeit?)",IF(AND(D544&lt;&gt;"",I544="Y"),"Forfeit has a chapter",IF(OR(F544="",H544=""),"Missing score",IF(F544=H544,"Tie score",IF(COUNTIFS($A$2:$A$801,A544,$E$2:$E$801,E544)+COUNTIFS($A$2:$A$801,A544,$G$2:$G$801,E544)&gt;1,"Team 1 listed twice this week",IF(COUNTIFS($A$2:$A$801,A544,$E$2:$E$801,G544)+COUNTIFS($A$2:$A$801,A544,$G$2:$G$801,G544)&gt;1,"Team 2 listed twice this week",""))))))))</f>
        <v/>
      </c>
    </row>
    <row r="545">
      <c r="A545" s="11" t="n"/>
      <c r="B545" s="9">
        <f>IF(A545="","",IFERROR(INDEX(Lists!$G$2:$G$7,MATCH(A545,Lists!$F$2:$F$7,0)),"?"))</f>
        <v/>
      </c>
      <c r="C545" s="4" t="n"/>
      <c r="D545" s="4" t="n"/>
      <c r="E545" s="4" t="n"/>
      <c r="F545" s="11" t="n"/>
      <c r="G545" s="4" t="n"/>
      <c r="H545" s="11" t="n"/>
      <c r="I545" s="11" t="n"/>
      <c r="J545" s="9">
        <f>IF(OR(F545="",H545=""),"",IF(F545&gt;H545,E545,IF(H545&gt;F545,G545,"")))</f>
        <v/>
      </c>
      <c r="K545" s="4" t="n"/>
      <c r="L545" s="9">
        <f>IF(COUNTA(A545,C545,D545,E545,F545,G545,H545,I545)=0,"",IF(OR(A545="",C545="",E545="",G545=""),"Missing week/class/team",IF(AND(D545="",I545&lt;&gt;"Y"),"No chapter (forfeit?)",IF(AND(D545&lt;&gt;"",I545="Y"),"Forfeit has a chapter",IF(OR(F545="",H545=""),"Missing score",IF(F545=H545,"Tie score",IF(COUNTIFS($A$2:$A$801,A545,$E$2:$E$801,E545)+COUNTIFS($A$2:$A$801,A545,$G$2:$G$801,E545)&gt;1,"Team 1 listed twice this week",IF(COUNTIFS($A$2:$A$801,A545,$E$2:$E$801,G545)+COUNTIFS($A$2:$A$801,A545,$G$2:$G$801,G545)&gt;1,"Team 2 listed twice this week",""))))))))</f>
        <v/>
      </c>
    </row>
    <row r="546">
      <c r="A546" s="11" t="n"/>
      <c r="B546" s="9">
        <f>IF(A546="","",IFERROR(INDEX(Lists!$G$2:$G$7,MATCH(A546,Lists!$F$2:$F$7,0)),"?"))</f>
        <v/>
      </c>
      <c r="C546" s="4" t="n"/>
      <c r="D546" s="4" t="n"/>
      <c r="E546" s="4" t="n"/>
      <c r="F546" s="11" t="n"/>
      <c r="G546" s="4" t="n"/>
      <c r="H546" s="11" t="n"/>
      <c r="I546" s="11" t="n"/>
      <c r="J546" s="9">
        <f>IF(OR(F546="",H546=""),"",IF(F546&gt;H546,E546,IF(H546&gt;F546,G546,"")))</f>
        <v/>
      </c>
      <c r="K546" s="4" t="n"/>
      <c r="L546" s="9">
        <f>IF(COUNTA(A546,C546,D546,E546,F546,G546,H546,I546)=0,"",IF(OR(A546="",C546="",E546="",G546=""),"Missing week/class/team",IF(AND(D546="",I546&lt;&gt;"Y"),"No chapter (forfeit?)",IF(AND(D546&lt;&gt;"",I546="Y"),"Forfeit has a chapter",IF(OR(F546="",H546=""),"Missing score",IF(F546=H546,"Tie score",IF(COUNTIFS($A$2:$A$801,A546,$E$2:$E$801,E546)+COUNTIFS($A$2:$A$801,A546,$G$2:$G$801,E546)&gt;1,"Team 1 listed twice this week",IF(COUNTIFS($A$2:$A$801,A546,$E$2:$E$801,G546)+COUNTIFS($A$2:$A$801,A546,$G$2:$G$801,G546)&gt;1,"Team 2 listed twice this week",""))))))))</f>
        <v/>
      </c>
    </row>
    <row r="547">
      <c r="A547" s="11" t="n"/>
      <c r="B547" s="9">
        <f>IF(A547="","",IFERROR(INDEX(Lists!$G$2:$G$7,MATCH(A547,Lists!$F$2:$F$7,0)),"?"))</f>
        <v/>
      </c>
      <c r="C547" s="4" t="n"/>
      <c r="D547" s="4" t="n"/>
      <c r="E547" s="4" t="n"/>
      <c r="F547" s="11" t="n"/>
      <c r="G547" s="4" t="n"/>
      <c r="H547" s="11" t="n"/>
      <c r="I547" s="11" t="n"/>
      <c r="J547" s="9">
        <f>IF(OR(F547="",H547=""),"",IF(F547&gt;H547,E547,IF(H547&gt;F547,G547,"")))</f>
        <v/>
      </c>
      <c r="K547" s="4" t="n"/>
      <c r="L547" s="9">
        <f>IF(COUNTA(A547,C547,D547,E547,F547,G547,H547,I547)=0,"",IF(OR(A547="",C547="",E547="",G547=""),"Missing week/class/team",IF(AND(D547="",I547&lt;&gt;"Y"),"No chapter (forfeit?)",IF(AND(D547&lt;&gt;"",I547="Y"),"Forfeit has a chapter",IF(OR(F547="",H547=""),"Missing score",IF(F547=H547,"Tie score",IF(COUNTIFS($A$2:$A$801,A547,$E$2:$E$801,E547)+COUNTIFS($A$2:$A$801,A547,$G$2:$G$801,E547)&gt;1,"Team 1 listed twice this week",IF(COUNTIFS($A$2:$A$801,A547,$E$2:$E$801,G547)+COUNTIFS($A$2:$A$801,A547,$G$2:$G$801,G547)&gt;1,"Team 2 listed twice this week",""))))))))</f>
        <v/>
      </c>
    </row>
    <row r="548">
      <c r="A548" s="11" t="n"/>
      <c r="B548" s="9">
        <f>IF(A548="","",IFERROR(INDEX(Lists!$G$2:$G$7,MATCH(A548,Lists!$F$2:$F$7,0)),"?"))</f>
        <v/>
      </c>
      <c r="C548" s="4" t="n"/>
      <c r="D548" s="4" t="n"/>
      <c r="E548" s="4" t="n"/>
      <c r="F548" s="11" t="n"/>
      <c r="G548" s="4" t="n"/>
      <c r="H548" s="11" t="n"/>
      <c r="I548" s="11" t="n"/>
      <c r="J548" s="9">
        <f>IF(OR(F548="",H548=""),"",IF(F548&gt;H548,E548,IF(H548&gt;F548,G548,"")))</f>
        <v/>
      </c>
      <c r="K548" s="4" t="n"/>
      <c r="L548" s="9">
        <f>IF(COUNTA(A548,C548,D548,E548,F548,G548,H548,I548)=0,"",IF(OR(A548="",C548="",E548="",G548=""),"Missing week/class/team",IF(AND(D548="",I548&lt;&gt;"Y"),"No chapter (forfeit?)",IF(AND(D548&lt;&gt;"",I548="Y"),"Forfeit has a chapter",IF(OR(F548="",H548=""),"Missing score",IF(F548=H548,"Tie score",IF(COUNTIFS($A$2:$A$801,A548,$E$2:$E$801,E548)+COUNTIFS($A$2:$A$801,A548,$G$2:$G$801,E548)&gt;1,"Team 1 listed twice this week",IF(COUNTIFS($A$2:$A$801,A548,$E$2:$E$801,G548)+COUNTIFS($A$2:$A$801,A548,$G$2:$G$801,G548)&gt;1,"Team 2 listed twice this week",""))))))))</f>
        <v/>
      </c>
    </row>
    <row r="549">
      <c r="A549" s="11" t="n"/>
      <c r="B549" s="9">
        <f>IF(A549="","",IFERROR(INDEX(Lists!$G$2:$G$7,MATCH(A549,Lists!$F$2:$F$7,0)),"?"))</f>
        <v/>
      </c>
      <c r="C549" s="4" t="n"/>
      <c r="D549" s="4" t="n"/>
      <c r="E549" s="4" t="n"/>
      <c r="F549" s="11" t="n"/>
      <c r="G549" s="4" t="n"/>
      <c r="H549" s="11" t="n"/>
      <c r="I549" s="11" t="n"/>
      <c r="J549" s="9">
        <f>IF(OR(F549="",H549=""),"",IF(F549&gt;H549,E549,IF(H549&gt;F549,G549,"")))</f>
        <v/>
      </c>
      <c r="K549" s="4" t="n"/>
      <c r="L549" s="9">
        <f>IF(COUNTA(A549,C549,D549,E549,F549,G549,H549,I549)=0,"",IF(OR(A549="",C549="",E549="",G549=""),"Missing week/class/team",IF(AND(D549="",I549&lt;&gt;"Y"),"No chapter (forfeit?)",IF(AND(D549&lt;&gt;"",I549="Y"),"Forfeit has a chapter",IF(OR(F549="",H549=""),"Missing score",IF(F549=H549,"Tie score",IF(COUNTIFS($A$2:$A$801,A549,$E$2:$E$801,E549)+COUNTIFS($A$2:$A$801,A549,$G$2:$G$801,E549)&gt;1,"Team 1 listed twice this week",IF(COUNTIFS($A$2:$A$801,A549,$E$2:$E$801,G549)+COUNTIFS($A$2:$A$801,A549,$G$2:$G$801,G549)&gt;1,"Team 2 listed twice this week",""))))))))</f>
        <v/>
      </c>
    </row>
    <row r="550">
      <c r="A550" s="11" t="n"/>
      <c r="B550" s="9">
        <f>IF(A550="","",IFERROR(INDEX(Lists!$G$2:$G$7,MATCH(A550,Lists!$F$2:$F$7,0)),"?"))</f>
        <v/>
      </c>
      <c r="C550" s="4" t="n"/>
      <c r="D550" s="4" t="n"/>
      <c r="E550" s="4" t="n"/>
      <c r="F550" s="11" t="n"/>
      <c r="G550" s="4" t="n"/>
      <c r="H550" s="11" t="n"/>
      <c r="I550" s="11" t="n"/>
      <c r="J550" s="9">
        <f>IF(OR(F550="",H550=""),"",IF(F550&gt;H550,E550,IF(H550&gt;F550,G550,"")))</f>
        <v/>
      </c>
      <c r="K550" s="4" t="n"/>
      <c r="L550" s="9">
        <f>IF(COUNTA(A550,C550,D550,E550,F550,G550,H550,I550)=0,"",IF(OR(A550="",C550="",E550="",G550=""),"Missing week/class/team",IF(AND(D550="",I550&lt;&gt;"Y"),"No chapter (forfeit?)",IF(AND(D550&lt;&gt;"",I550="Y"),"Forfeit has a chapter",IF(OR(F550="",H550=""),"Missing score",IF(F550=H550,"Tie score",IF(COUNTIFS($A$2:$A$801,A550,$E$2:$E$801,E550)+COUNTIFS($A$2:$A$801,A550,$G$2:$G$801,E550)&gt;1,"Team 1 listed twice this week",IF(COUNTIFS($A$2:$A$801,A550,$E$2:$E$801,G550)+COUNTIFS($A$2:$A$801,A550,$G$2:$G$801,G550)&gt;1,"Team 2 listed twice this week",""))))))))</f>
        <v/>
      </c>
    </row>
    <row r="551">
      <c r="A551" s="11" t="n"/>
      <c r="B551" s="9">
        <f>IF(A551="","",IFERROR(INDEX(Lists!$G$2:$G$7,MATCH(A551,Lists!$F$2:$F$7,0)),"?"))</f>
        <v/>
      </c>
      <c r="C551" s="4" t="n"/>
      <c r="D551" s="4" t="n"/>
      <c r="E551" s="4" t="n"/>
      <c r="F551" s="11" t="n"/>
      <c r="G551" s="4" t="n"/>
      <c r="H551" s="11" t="n"/>
      <c r="I551" s="11" t="n"/>
      <c r="J551" s="9">
        <f>IF(OR(F551="",H551=""),"",IF(F551&gt;H551,E551,IF(H551&gt;F551,G551,"")))</f>
        <v/>
      </c>
      <c r="K551" s="4" t="n"/>
      <c r="L551" s="9">
        <f>IF(COUNTA(A551,C551,D551,E551,F551,G551,H551,I551)=0,"",IF(OR(A551="",C551="",E551="",G551=""),"Missing week/class/team",IF(AND(D551="",I551&lt;&gt;"Y"),"No chapter (forfeit?)",IF(AND(D551&lt;&gt;"",I551="Y"),"Forfeit has a chapter",IF(OR(F551="",H551=""),"Missing score",IF(F551=H551,"Tie score",IF(COUNTIFS($A$2:$A$801,A551,$E$2:$E$801,E551)+COUNTIFS($A$2:$A$801,A551,$G$2:$G$801,E551)&gt;1,"Team 1 listed twice this week",IF(COUNTIFS($A$2:$A$801,A551,$E$2:$E$801,G551)+COUNTIFS($A$2:$A$801,A551,$G$2:$G$801,G551)&gt;1,"Team 2 listed twice this week",""))))))))</f>
        <v/>
      </c>
    </row>
    <row r="552">
      <c r="A552" s="11" t="n"/>
      <c r="B552" s="9">
        <f>IF(A552="","",IFERROR(INDEX(Lists!$G$2:$G$7,MATCH(A552,Lists!$F$2:$F$7,0)),"?"))</f>
        <v/>
      </c>
      <c r="C552" s="4" t="n"/>
      <c r="D552" s="4" t="n"/>
      <c r="E552" s="4" t="n"/>
      <c r="F552" s="11" t="n"/>
      <c r="G552" s="4" t="n"/>
      <c r="H552" s="11" t="n"/>
      <c r="I552" s="11" t="n"/>
      <c r="J552" s="9">
        <f>IF(OR(F552="",H552=""),"",IF(F552&gt;H552,E552,IF(H552&gt;F552,G552,"")))</f>
        <v/>
      </c>
      <c r="K552" s="4" t="n"/>
      <c r="L552" s="9">
        <f>IF(COUNTA(A552,C552,D552,E552,F552,G552,H552,I552)=0,"",IF(OR(A552="",C552="",E552="",G552=""),"Missing week/class/team",IF(AND(D552="",I552&lt;&gt;"Y"),"No chapter (forfeit?)",IF(AND(D552&lt;&gt;"",I552="Y"),"Forfeit has a chapter",IF(OR(F552="",H552=""),"Missing score",IF(F552=H552,"Tie score",IF(COUNTIFS($A$2:$A$801,A552,$E$2:$E$801,E552)+COUNTIFS($A$2:$A$801,A552,$G$2:$G$801,E552)&gt;1,"Team 1 listed twice this week",IF(COUNTIFS($A$2:$A$801,A552,$E$2:$E$801,G552)+COUNTIFS($A$2:$A$801,A552,$G$2:$G$801,G552)&gt;1,"Team 2 listed twice this week",""))))))))</f>
        <v/>
      </c>
    </row>
    <row r="553">
      <c r="A553" s="11" t="n"/>
      <c r="B553" s="9">
        <f>IF(A553="","",IFERROR(INDEX(Lists!$G$2:$G$7,MATCH(A553,Lists!$F$2:$F$7,0)),"?"))</f>
        <v/>
      </c>
      <c r="C553" s="4" t="n"/>
      <c r="D553" s="4" t="n"/>
      <c r="E553" s="4" t="n"/>
      <c r="F553" s="11" t="n"/>
      <c r="G553" s="4" t="n"/>
      <c r="H553" s="11" t="n"/>
      <c r="I553" s="11" t="n"/>
      <c r="J553" s="9">
        <f>IF(OR(F553="",H553=""),"",IF(F553&gt;H553,E553,IF(H553&gt;F553,G553,"")))</f>
        <v/>
      </c>
      <c r="K553" s="4" t="n"/>
      <c r="L553" s="9">
        <f>IF(COUNTA(A553,C553,D553,E553,F553,G553,H553,I553)=0,"",IF(OR(A553="",C553="",E553="",G553=""),"Missing week/class/team",IF(AND(D553="",I553&lt;&gt;"Y"),"No chapter (forfeit?)",IF(AND(D553&lt;&gt;"",I553="Y"),"Forfeit has a chapter",IF(OR(F553="",H553=""),"Missing score",IF(F553=H553,"Tie score",IF(COUNTIFS($A$2:$A$801,A553,$E$2:$E$801,E553)+COUNTIFS($A$2:$A$801,A553,$G$2:$G$801,E553)&gt;1,"Team 1 listed twice this week",IF(COUNTIFS($A$2:$A$801,A553,$E$2:$E$801,G553)+COUNTIFS($A$2:$A$801,A553,$G$2:$G$801,G553)&gt;1,"Team 2 listed twice this week",""))))))))</f>
        <v/>
      </c>
    </row>
    <row r="554">
      <c r="A554" s="11" t="n"/>
      <c r="B554" s="9">
        <f>IF(A554="","",IFERROR(INDEX(Lists!$G$2:$G$7,MATCH(A554,Lists!$F$2:$F$7,0)),"?"))</f>
        <v/>
      </c>
      <c r="C554" s="4" t="n"/>
      <c r="D554" s="4" t="n"/>
      <c r="E554" s="4" t="n"/>
      <c r="F554" s="11" t="n"/>
      <c r="G554" s="4" t="n"/>
      <c r="H554" s="11" t="n"/>
      <c r="I554" s="11" t="n"/>
      <c r="J554" s="9">
        <f>IF(OR(F554="",H554=""),"",IF(F554&gt;H554,E554,IF(H554&gt;F554,G554,"")))</f>
        <v/>
      </c>
      <c r="K554" s="4" t="n"/>
      <c r="L554" s="9">
        <f>IF(COUNTA(A554,C554,D554,E554,F554,G554,H554,I554)=0,"",IF(OR(A554="",C554="",E554="",G554=""),"Missing week/class/team",IF(AND(D554="",I554&lt;&gt;"Y"),"No chapter (forfeit?)",IF(AND(D554&lt;&gt;"",I554="Y"),"Forfeit has a chapter",IF(OR(F554="",H554=""),"Missing score",IF(F554=H554,"Tie score",IF(COUNTIFS($A$2:$A$801,A554,$E$2:$E$801,E554)+COUNTIFS($A$2:$A$801,A554,$G$2:$G$801,E554)&gt;1,"Team 1 listed twice this week",IF(COUNTIFS($A$2:$A$801,A554,$E$2:$E$801,G554)+COUNTIFS($A$2:$A$801,A554,$G$2:$G$801,G554)&gt;1,"Team 2 listed twice this week",""))))))))</f>
        <v/>
      </c>
    </row>
    <row r="555">
      <c r="A555" s="11" t="n"/>
      <c r="B555" s="9">
        <f>IF(A555="","",IFERROR(INDEX(Lists!$G$2:$G$7,MATCH(A555,Lists!$F$2:$F$7,0)),"?"))</f>
        <v/>
      </c>
      <c r="C555" s="4" t="n"/>
      <c r="D555" s="4" t="n"/>
      <c r="E555" s="4" t="n"/>
      <c r="F555" s="11" t="n"/>
      <c r="G555" s="4" t="n"/>
      <c r="H555" s="11" t="n"/>
      <c r="I555" s="11" t="n"/>
      <c r="J555" s="9">
        <f>IF(OR(F555="",H555=""),"",IF(F555&gt;H555,E555,IF(H555&gt;F555,G555,"")))</f>
        <v/>
      </c>
      <c r="K555" s="4" t="n"/>
      <c r="L555" s="9">
        <f>IF(COUNTA(A555,C555,D555,E555,F555,G555,H555,I555)=0,"",IF(OR(A555="",C555="",E555="",G555=""),"Missing week/class/team",IF(AND(D555="",I555&lt;&gt;"Y"),"No chapter (forfeit?)",IF(AND(D555&lt;&gt;"",I555="Y"),"Forfeit has a chapter",IF(OR(F555="",H555=""),"Missing score",IF(F555=H555,"Tie score",IF(COUNTIFS($A$2:$A$801,A555,$E$2:$E$801,E555)+COUNTIFS($A$2:$A$801,A555,$G$2:$G$801,E555)&gt;1,"Team 1 listed twice this week",IF(COUNTIFS($A$2:$A$801,A555,$E$2:$E$801,G555)+COUNTIFS($A$2:$A$801,A555,$G$2:$G$801,G555)&gt;1,"Team 2 listed twice this week",""))))))))</f>
        <v/>
      </c>
    </row>
    <row r="556">
      <c r="A556" s="11" t="n"/>
      <c r="B556" s="9">
        <f>IF(A556="","",IFERROR(INDEX(Lists!$G$2:$G$7,MATCH(A556,Lists!$F$2:$F$7,0)),"?"))</f>
        <v/>
      </c>
      <c r="C556" s="4" t="n"/>
      <c r="D556" s="4" t="n"/>
      <c r="E556" s="4" t="n"/>
      <c r="F556" s="11" t="n"/>
      <c r="G556" s="4" t="n"/>
      <c r="H556" s="11" t="n"/>
      <c r="I556" s="11" t="n"/>
      <c r="J556" s="9">
        <f>IF(OR(F556="",H556=""),"",IF(F556&gt;H556,E556,IF(H556&gt;F556,G556,"")))</f>
        <v/>
      </c>
      <c r="K556" s="4" t="n"/>
      <c r="L556" s="9">
        <f>IF(COUNTA(A556,C556,D556,E556,F556,G556,H556,I556)=0,"",IF(OR(A556="",C556="",E556="",G556=""),"Missing week/class/team",IF(AND(D556="",I556&lt;&gt;"Y"),"No chapter (forfeit?)",IF(AND(D556&lt;&gt;"",I556="Y"),"Forfeit has a chapter",IF(OR(F556="",H556=""),"Missing score",IF(F556=H556,"Tie score",IF(COUNTIFS($A$2:$A$801,A556,$E$2:$E$801,E556)+COUNTIFS($A$2:$A$801,A556,$G$2:$G$801,E556)&gt;1,"Team 1 listed twice this week",IF(COUNTIFS($A$2:$A$801,A556,$E$2:$E$801,G556)+COUNTIFS($A$2:$A$801,A556,$G$2:$G$801,G556)&gt;1,"Team 2 listed twice this week",""))))))))</f>
        <v/>
      </c>
    </row>
    <row r="557">
      <c r="A557" s="11" t="n"/>
      <c r="B557" s="9">
        <f>IF(A557="","",IFERROR(INDEX(Lists!$G$2:$G$7,MATCH(A557,Lists!$F$2:$F$7,0)),"?"))</f>
        <v/>
      </c>
      <c r="C557" s="4" t="n"/>
      <c r="D557" s="4" t="n"/>
      <c r="E557" s="4" t="n"/>
      <c r="F557" s="11" t="n"/>
      <c r="G557" s="4" t="n"/>
      <c r="H557" s="11" t="n"/>
      <c r="I557" s="11" t="n"/>
      <c r="J557" s="9">
        <f>IF(OR(F557="",H557=""),"",IF(F557&gt;H557,E557,IF(H557&gt;F557,G557,"")))</f>
        <v/>
      </c>
      <c r="K557" s="4" t="n"/>
      <c r="L557" s="9">
        <f>IF(COUNTA(A557,C557,D557,E557,F557,G557,H557,I557)=0,"",IF(OR(A557="",C557="",E557="",G557=""),"Missing week/class/team",IF(AND(D557="",I557&lt;&gt;"Y"),"No chapter (forfeit?)",IF(AND(D557&lt;&gt;"",I557="Y"),"Forfeit has a chapter",IF(OR(F557="",H557=""),"Missing score",IF(F557=H557,"Tie score",IF(COUNTIFS($A$2:$A$801,A557,$E$2:$E$801,E557)+COUNTIFS($A$2:$A$801,A557,$G$2:$G$801,E557)&gt;1,"Team 1 listed twice this week",IF(COUNTIFS($A$2:$A$801,A557,$E$2:$E$801,G557)+COUNTIFS($A$2:$A$801,A557,$G$2:$G$801,G557)&gt;1,"Team 2 listed twice this week",""))))))))</f>
        <v/>
      </c>
    </row>
    <row r="558">
      <c r="A558" s="11" t="n"/>
      <c r="B558" s="9">
        <f>IF(A558="","",IFERROR(INDEX(Lists!$G$2:$G$7,MATCH(A558,Lists!$F$2:$F$7,0)),"?"))</f>
        <v/>
      </c>
      <c r="C558" s="4" t="n"/>
      <c r="D558" s="4" t="n"/>
      <c r="E558" s="4" t="n"/>
      <c r="F558" s="11" t="n"/>
      <c r="G558" s="4" t="n"/>
      <c r="H558" s="11" t="n"/>
      <c r="I558" s="11" t="n"/>
      <c r="J558" s="9">
        <f>IF(OR(F558="",H558=""),"",IF(F558&gt;H558,E558,IF(H558&gt;F558,G558,"")))</f>
        <v/>
      </c>
      <c r="K558" s="4" t="n"/>
      <c r="L558" s="9">
        <f>IF(COUNTA(A558,C558,D558,E558,F558,G558,H558,I558)=0,"",IF(OR(A558="",C558="",E558="",G558=""),"Missing week/class/team",IF(AND(D558="",I558&lt;&gt;"Y"),"No chapter (forfeit?)",IF(AND(D558&lt;&gt;"",I558="Y"),"Forfeit has a chapter",IF(OR(F558="",H558=""),"Missing score",IF(F558=H558,"Tie score",IF(COUNTIFS($A$2:$A$801,A558,$E$2:$E$801,E558)+COUNTIFS($A$2:$A$801,A558,$G$2:$G$801,E558)&gt;1,"Team 1 listed twice this week",IF(COUNTIFS($A$2:$A$801,A558,$E$2:$E$801,G558)+COUNTIFS($A$2:$A$801,A558,$G$2:$G$801,G558)&gt;1,"Team 2 listed twice this week",""))))))))</f>
        <v/>
      </c>
    </row>
    <row r="559">
      <c r="A559" s="11" t="n"/>
      <c r="B559" s="9">
        <f>IF(A559="","",IFERROR(INDEX(Lists!$G$2:$G$7,MATCH(A559,Lists!$F$2:$F$7,0)),"?"))</f>
        <v/>
      </c>
      <c r="C559" s="4" t="n"/>
      <c r="D559" s="4" t="n"/>
      <c r="E559" s="4" t="n"/>
      <c r="F559" s="11" t="n"/>
      <c r="G559" s="4" t="n"/>
      <c r="H559" s="11" t="n"/>
      <c r="I559" s="11" t="n"/>
      <c r="J559" s="9">
        <f>IF(OR(F559="",H559=""),"",IF(F559&gt;H559,E559,IF(H559&gt;F559,G559,"")))</f>
        <v/>
      </c>
      <c r="K559" s="4" t="n"/>
      <c r="L559" s="9">
        <f>IF(COUNTA(A559,C559,D559,E559,F559,G559,H559,I559)=0,"",IF(OR(A559="",C559="",E559="",G559=""),"Missing week/class/team",IF(AND(D559="",I559&lt;&gt;"Y"),"No chapter (forfeit?)",IF(AND(D559&lt;&gt;"",I559="Y"),"Forfeit has a chapter",IF(OR(F559="",H559=""),"Missing score",IF(F559=H559,"Tie score",IF(COUNTIFS($A$2:$A$801,A559,$E$2:$E$801,E559)+COUNTIFS($A$2:$A$801,A559,$G$2:$G$801,E559)&gt;1,"Team 1 listed twice this week",IF(COUNTIFS($A$2:$A$801,A559,$E$2:$E$801,G559)+COUNTIFS($A$2:$A$801,A559,$G$2:$G$801,G559)&gt;1,"Team 2 listed twice this week",""))))))))</f>
        <v/>
      </c>
    </row>
    <row r="560">
      <c r="A560" s="11" t="n"/>
      <c r="B560" s="9">
        <f>IF(A560="","",IFERROR(INDEX(Lists!$G$2:$G$7,MATCH(A560,Lists!$F$2:$F$7,0)),"?"))</f>
        <v/>
      </c>
      <c r="C560" s="4" t="n"/>
      <c r="D560" s="4" t="n"/>
      <c r="E560" s="4" t="n"/>
      <c r="F560" s="11" t="n"/>
      <c r="G560" s="4" t="n"/>
      <c r="H560" s="11" t="n"/>
      <c r="I560" s="11" t="n"/>
      <c r="J560" s="9">
        <f>IF(OR(F560="",H560=""),"",IF(F560&gt;H560,E560,IF(H560&gt;F560,G560,"")))</f>
        <v/>
      </c>
      <c r="K560" s="4" t="n"/>
      <c r="L560" s="9">
        <f>IF(COUNTA(A560,C560,D560,E560,F560,G560,H560,I560)=0,"",IF(OR(A560="",C560="",E560="",G560=""),"Missing week/class/team",IF(AND(D560="",I560&lt;&gt;"Y"),"No chapter (forfeit?)",IF(AND(D560&lt;&gt;"",I560="Y"),"Forfeit has a chapter",IF(OR(F560="",H560=""),"Missing score",IF(F560=H560,"Tie score",IF(COUNTIFS($A$2:$A$801,A560,$E$2:$E$801,E560)+COUNTIFS($A$2:$A$801,A560,$G$2:$G$801,E560)&gt;1,"Team 1 listed twice this week",IF(COUNTIFS($A$2:$A$801,A560,$E$2:$E$801,G560)+COUNTIFS($A$2:$A$801,A560,$G$2:$G$801,G560)&gt;1,"Team 2 listed twice this week",""))))))))</f>
        <v/>
      </c>
    </row>
    <row r="561">
      <c r="A561" s="11" t="n"/>
      <c r="B561" s="9">
        <f>IF(A561="","",IFERROR(INDEX(Lists!$G$2:$G$7,MATCH(A561,Lists!$F$2:$F$7,0)),"?"))</f>
        <v/>
      </c>
      <c r="C561" s="4" t="n"/>
      <c r="D561" s="4" t="n"/>
      <c r="E561" s="4" t="n"/>
      <c r="F561" s="11" t="n"/>
      <c r="G561" s="4" t="n"/>
      <c r="H561" s="11" t="n"/>
      <c r="I561" s="11" t="n"/>
      <c r="J561" s="9">
        <f>IF(OR(F561="",H561=""),"",IF(F561&gt;H561,E561,IF(H561&gt;F561,G561,"")))</f>
        <v/>
      </c>
      <c r="K561" s="4" t="n"/>
      <c r="L561" s="9">
        <f>IF(COUNTA(A561,C561,D561,E561,F561,G561,H561,I561)=0,"",IF(OR(A561="",C561="",E561="",G561=""),"Missing week/class/team",IF(AND(D561="",I561&lt;&gt;"Y"),"No chapter (forfeit?)",IF(AND(D561&lt;&gt;"",I561="Y"),"Forfeit has a chapter",IF(OR(F561="",H561=""),"Missing score",IF(F561=H561,"Tie score",IF(COUNTIFS($A$2:$A$801,A561,$E$2:$E$801,E561)+COUNTIFS($A$2:$A$801,A561,$G$2:$G$801,E561)&gt;1,"Team 1 listed twice this week",IF(COUNTIFS($A$2:$A$801,A561,$E$2:$E$801,G561)+COUNTIFS($A$2:$A$801,A561,$G$2:$G$801,G561)&gt;1,"Team 2 listed twice this week",""))))))))</f>
        <v/>
      </c>
    </row>
    <row r="562">
      <c r="A562" s="11" t="n"/>
      <c r="B562" s="9">
        <f>IF(A562="","",IFERROR(INDEX(Lists!$G$2:$G$7,MATCH(A562,Lists!$F$2:$F$7,0)),"?"))</f>
        <v/>
      </c>
      <c r="C562" s="4" t="n"/>
      <c r="D562" s="4" t="n"/>
      <c r="E562" s="4" t="n"/>
      <c r="F562" s="11" t="n"/>
      <c r="G562" s="4" t="n"/>
      <c r="H562" s="11" t="n"/>
      <c r="I562" s="11" t="n"/>
      <c r="J562" s="9">
        <f>IF(OR(F562="",H562=""),"",IF(F562&gt;H562,E562,IF(H562&gt;F562,G562,"")))</f>
        <v/>
      </c>
      <c r="K562" s="4" t="n"/>
      <c r="L562" s="9">
        <f>IF(COUNTA(A562,C562,D562,E562,F562,G562,H562,I562)=0,"",IF(OR(A562="",C562="",E562="",G562=""),"Missing week/class/team",IF(AND(D562="",I562&lt;&gt;"Y"),"No chapter (forfeit?)",IF(AND(D562&lt;&gt;"",I562="Y"),"Forfeit has a chapter",IF(OR(F562="",H562=""),"Missing score",IF(F562=H562,"Tie score",IF(COUNTIFS($A$2:$A$801,A562,$E$2:$E$801,E562)+COUNTIFS($A$2:$A$801,A562,$G$2:$G$801,E562)&gt;1,"Team 1 listed twice this week",IF(COUNTIFS($A$2:$A$801,A562,$E$2:$E$801,G562)+COUNTIFS($A$2:$A$801,A562,$G$2:$G$801,G562)&gt;1,"Team 2 listed twice this week",""))))))))</f>
        <v/>
      </c>
    </row>
    <row r="563">
      <c r="A563" s="11" t="n"/>
      <c r="B563" s="9">
        <f>IF(A563="","",IFERROR(INDEX(Lists!$G$2:$G$7,MATCH(A563,Lists!$F$2:$F$7,0)),"?"))</f>
        <v/>
      </c>
      <c r="C563" s="4" t="n"/>
      <c r="D563" s="4" t="n"/>
      <c r="E563" s="4" t="n"/>
      <c r="F563" s="11" t="n"/>
      <c r="G563" s="4" t="n"/>
      <c r="H563" s="11" t="n"/>
      <c r="I563" s="11" t="n"/>
      <c r="J563" s="9">
        <f>IF(OR(F563="",H563=""),"",IF(F563&gt;H563,E563,IF(H563&gt;F563,G563,"")))</f>
        <v/>
      </c>
      <c r="K563" s="4" t="n"/>
      <c r="L563" s="9">
        <f>IF(COUNTA(A563,C563,D563,E563,F563,G563,H563,I563)=0,"",IF(OR(A563="",C563="",E563="",G563=""),"Missing week/class/team",IF(AND(D563="",I563&lt;&gt;"Y"),"No chapter (forfeit?)",IF(AND(D563&lt;&gt;"",I563="Y"),"Forfeit has a chapter",IF(OR(F563="",H563=""),"Missing score",IF(F563=H563,"Tie score",IF(COUNTIFS($A$2:$A$801,A563,$E$2:$E$801,E563)+COUNTIFS($A$2:$A$801,A563,$G$2:$G$801,E563)&gt;1,"Team 1 listed twice this week",IF(COUNTIFS($A$2:$A$801,A563,$E$2:$E$801,G563)+COUNTIFS($A$2:$A$801,A563,$G$2:$G$801,G563)&gt;1,"Team 2 listed twice this week",""))))))))</f>
        <v/>
      </c>
    </row>
    <row r="564">
      <c r="A564" s="11" t="n"/>
      <c r="B564" s="9">
        <f>IF(A564="","",IFERROR(INDEX(Lists!$G$2:$G$7,MATCH(A564,Lists!$F$2:$F$7,0)),"?"))</f>
        <v/>
      </c>
      <c r="C564" s="4" t="n"/>
      <c r="D564" s="4" t="n"/>
      <c r="E564" s="4" t="n"/>
      <c r="F564" s="11" t="n"/>
      <c r="G564" s="4" t="n"/>
      <c r="H564" s="11" t="n"/>
      <c r="I564" s="11" t="n"/>
      <c r="J564" s="9">
        <f>IF(OR(F564="",H564=""),"",IF(F564&gt;H564,E564,IF(H564&gt;F564,G564,"")))</f>
        <v/>
      </c>
      <c r="K564" s="4" t="n"/>
      <c r="L564" s="9">
        <f>IF(COUNTA(A564,C564,D564,E564,F564,G564,H564,I564)=0,"",IF(OR(A564="",C564="",E564="",G564=""),"Missing week/class/team",IF(AND(D564="",I564&lt;&gt;"Y"),"No chapter (forfeit?)",IF(AND(D564&lt;&gt;"",I564="Y"),"Forfeit has a chapter",IF(OR(F564="",H564=""),"Missing score",IF(F564=H564,"Tie score",IF(COUNTIFS($A$2:$A$801,A564,$E$2:$E$801,E564)+COUNTIFS($A$2:$A$801,A564,$G$2:$G$801,E564)&gt;1,"Team 1 listed twice this week",IF(COUNTIFS($A$2:$A$801,A564,$E$2:$E$801,G564)+COUNTIFS($A$2:$A$801,A564,$G$2:$G$801,G564)&gt;1,"Team 2 listed twice this week",""))))))))</f>
        <v/>
      </c>
    </row>
    <row r="565">
      <c r="A565" s="11" t="n"/>
      <c r="B565" s="9">
        <f>IF(A565="","",IFERROR(INDEX(Lists!$G$2:$G$7,MATCH(A565,Lists!$F$2:$F$7,0)),"?"))</f>
        <v/>
      </c>
      <c r="C565" s="4" t="n"/>
      <c r="D565" s="4" t="n"/>
      <c r="E565" s="4" t="n"/>
      <c r="F565" s="11" t="n"/>
      <c r="G565" s="4" t="n"/>
      <c r="H565" s="11" t="n"/>
      <c r="I565" s="11" t="n"/>
      <c r="J565" s="9">
        <f>IF(OR(F565="",H565=""),"",IF(F565&gt;H565,E565,IF(H565&gt;F565,G565,"")))</f>
        <v/>
      </c>
      <c r="K565" s="4" t="n"/>
      <c r="L565" s="9">
        <f>IF(COUNTA(A565,C565,D565,E565,F565,G565,H565,I565)=0,"",IF(OR(A565="",C565="",E565="",G565=""),"Missing week/class/team",IF(AND(D565="",I565&lt;&gt;"Y"),"No chapter (forfeit?)",IF(AND(D565&lt;&gt;"",I565="Y"),"Forfeit has a chapter",IF(OR(F565="",H565=""),"Missing score",IF(F565=H565,"Tie score",IF(COUNTIFS($A$2:$A$801,A565,$E$2:$E$801,E565)+COUNTIFS($A$2:$A$801,A565,$G$2:$G$801,E565)&gt;1,"Team 1 listed twice this week",IF(COUNTIFS($A$2:$A$801,A565,$E$2:$E$801,G565)+COUNTIFS($A$2:$A$801,A565,$G$2:$G$801,G565)&gt;1,"Team 2 listed twice this week",""))))))))</f>
        <v/>
      </c>
    </row>
    <row r="566">
      <c r="A566" s="11" t="n"/>
      <c r="B566" s="9">
        <f>IF(A566="","",IFERROR(INDEX(Lists!$G$2:$G$7,MATCH(A566,Lists!$F$2:$F$7,0)),"?"))</f>
        <v/>
      </c>
      <c r="C566" s="4" t="n"/>
      <c r="D566" s="4" t="n"/>
      <c r="E566" s="4" t="n"/>
      <c r="F566" s="11" t="n"/>
      <c r="G566" s="4" t="n"/>
      <c r="H566" s="11" t="n"/>
      <c r="I566" s="11" t="n"/>
      <c r="J566" s="9">
        <f>IF(OR(F566="",H566=""),"",IF(F566&gt;H566,E566,IF(H566&gt;F566,G566,"")))</f>
        <v/>
      </c>
      <c r="K566" s="4" t="n"/>
      <c r="L566" s="9">
        <f>IF(COUNTA(A566,C566,D566,E566,F566,G566,H566,I566)=0,"",IF(OR(A566="",C566="",E566="",G566=""),"Missing week/class/team",IF(AND(D566="",I566&lt;&gt;"Y"),"No chapter (forfeit?)",IF(AND(D566&lt;&gt;"",I566="Y"),"Forfeit has a chapter",IF(OR(F566="",H566=""),"Missing score",IF(F566=H566,"Tie score",IF(COUNTIFS($A$2:$A$801,A566,$E$2:$E$801,E566)+COUNTIFS($A$2:$A$801,A566,$G$2:$G$801,E566)&gt;1,"Team 1 listed twice this week",IF(COUNTIFS($A$2:$A$801,A566,$E$2:$E$801,G566)+COUNTIFS($A$2:$A$801,A566,$G$2:$G$801,G566)&gt;1,"Team 2 listed twice this week",""))))))))</f>
        <v/>
      </c>
    </row>
    <row r="567">
      <c r="A567" s="11" t="n"/>
      <c r="B567" s="9">
        <f>IF(A567="","",IFERROR(INDEX(Lists!$G$2:$G$7,MATCH(A567,Lists!$F$2:$F$7,0)),"?"))</f>
        <v/>
      </c>
      <c r="C567" s="4" t="n"/>
      <c r="D567" s="4" t="n"/>
      <c r="E567" s="4" t="n"/>
      <c r="F567" s="11" t="n"/>
      <c r="G567" s="4" t="n"/>
      <c r="H567" s="11" t="n"/>
      <c r="I567" s="11" t="n"/>
      <c r="J567" s="9">
        <f>IF(OR(F567="",H567=""),"",IF(F567&gt;H567,E567,IF(H567&gt;F567,G567,"")))</f>
        <v/>
      </c>
      <c r="K567" s="4" t="n"/>
      <c r="L567" s="9">
        <f>IF(COUNTA(A567,C567,D567,E567,F567,G567,H567,I567)=0,"",IF(OR(A567="",C567="",E567="",G567=""),"Missing week/class/team",IF(AND(D567="",I567&lt;&gt;"Y"),"No chapter (forfeit?)",IF(AND(D567&lt;&gt;"",I567="Y"),"Forfeit has a chapter",IF(OR(F567="",H567=""),"Missing score",IF(F567=H567,"Tie score",IF(COUNTIFS($A$2:$A$801,A567,$E$2:$E$801,E567)+COUNTIFS($A$2:$A$801,A567,$G$2:$G$801,E567)&gt;1,"Team 1 listed twice this week",IF(COUNTIFS($A$2:$A$801,A567,$E$2:$E$801,G567)+COUNTIFS($A$2:$A$801,A567,$G$2:$G$801,G567)&gt;1,"Team 2 listed twice this week",""))))))))</f>
        <v/>
      </c>
    </row>
    <row r="568">
      <c r="A568" s="11" t="n"/>
      <c r="B568" s="9">
        <f>IF(A568="","",IFERROR(INDEX(Lists!$G$2:$G$7,MATCH(A568,Lists!$F$2:$F$7,0)),"?"))</f>
        <v/>
      </c>
      <c r="C568" s="4" t="n"/>
      <c r="D568" s="4" t="n"/>
      <c r="E568" s="4" t="n"/>
      <c r="F568" s="11" t="n"/>
      <c r="G568" s="4" t="n"/>
      <c r="H568" s="11" t="n"/>
      <c r="I568" s="11" t="n"/>
      <c r="J568" s="9">
        <f>IF(OR(F568="",H568=""),"",IF(F568&gt;H568,E568,IF(H568&gt;F568,G568,"")))</f>
        <v/>
      </c>
      <c r="K568" s="4" t="n"/>
      <c r="L568" s="9">
        <f>IF(COUNTA(A568,C568,D568,E568,F568,G568,H568,I568)=0,"",IF(OR(A568="",C568="",E568="",G568=""),"Missing week/class/team",IF(AND(D568="",I568&lt;&gt;"Y"),"No chapter (forfeit?)",IF(AND(D568&lt;&gt;"",I568="Y"),"Forfeit has a chapter",IF(OR(F568="",H568=""),"Missing score",IF(F568=H568,"Tie score",IF(COUNTIFS($A$2:$A$801,A568,$E$2:$E$801,E568)+COUNTIFS($A$2:$A$801,A568,$G$2:$G$801,E568)&gt;1,"Team 1 listed twice this week",IF(COUNTIFS($A$2:$A$801,A568,$E$2:$E$801,G568)+COUNTIFS($A$2:$A$801,A568,$G$2:$G$801,G568)&gt;1,"Team 2 listed twice this week",""))))))))</f>
        <v/>
      </c>
    </row>
    <row r="569">
      <c r="A569" s="11" t="n"/>
      <c r="B569" s="9">
        <f>IF(A569="","",IFERROR(INDEX(Lists!$G$2:$G$7,MATCH(A569,Lists!$F$2:$F$7,0)),"?"))</f>
        <v/>
      </c>
      <c r="C569" s="4" t="n"/>
      <c r="D569" s="4" t="n"/>
      <c r="E569" s="4" t="n"/>
      <c r="F569" s="11" t="n"/>
      <c r="G569" s="4" t="n"/>
      <c r="H569" s="11" t="n"/>
      <c r="I569" s="11" t="n"/>
      <c r="J569" s="9">
        <f>IF(OR(F569="",H569=""),"",IF(F569&gt;H569,E569,IF(H569&gt;F569,G569,"")))</f>
        <v/>
      </c>
      <c r="K569" s="4" t="n"/>
      <c r="L569" s="9">
        <f>IF(COUNTA(A569,C569,D569,E569,F569,G569,H569,I569)=0,"",IF(OR(A569="",C569="",E569="",G569=""),"Missing week/class/team",IF(AND(D569="",I569&lt;&gt;"Y"),"No chapter (forfeit?)",IF(AND(D569&lt;&gt;"",I569="Y"),"Forfeit has a chapter",IF(OR(F569="",H569=""),"Missing score",IF(F569=H569,"Tie score",IF(COUNTIFS($A$2:$A$801,A569,$E$2:$E$801,E569)+COUNTIFS($A$2:$A$801,A569,$G$2:$G$801,E569)&gt;1,"Team 1 listed twice this week",IF(COUNTIFS($A$2:$A$801,A569,$E$2:$E$801,G569)+COUNTIFS($A$2:$A$801,A569,$G$2:$G$801,G569)&gt;1,"Team 2 listed twice this week",""))))))))</f>
        <v/>
      </c>
    </row>
    <row r="570">
      <c r="A570" s="11" t="n"/>
      <c r="B570" s="9">
        <f>IF(A570="","",IFERROR(INDEX(Lists!$G$2:$G$7,MATCH(A570,Lists!$F$2:$F$7,0)),"?"))</f>
        <v/>
      </c>
      <c r="C570" s="4" t="n"/>
      <c r="D570" s="4" t="n"/>
      <c r="E570" s="4" t="n"/>
      <c r="F570" s="11" t="n"/>
      <c r="G570" s="4" t="n"/>
      <c r="H570" s="11" t="n"/>
      <c r="I570" s="11" t="n"/>
      <c r="J570" s="9">
        <f>IF(OR(F570="",H570=""),"",IF(F570&gt;H570,E570,IF(H570&gt;F570,G570,"")))</f>
        <v/>
      </c>
      <c r="K570" s="4" t="n"/>
      <c r="L570" s="9">
        <f>IF(COUNTA(A570,C570,D570,E570,F570,G570,H570,I570)=0,"",IF(OR(A570="",C570="",E570="",G570=""),"Missing week/class/team",IF(AND(D570="",I570&lt;&gt;"Y"),"No chapter (forfeit?)",IF(AND(D570&lt;&gt;"",I570="Y"),"Forfeit has a chapter",IF(OR(F570="",H570=""),"Missing score",IF(F570=H570,"Tie score",IF(COUNTIFS($A$2:$A$801,A570,$E$2:$E$801,E570)+COUNTIFS($A$2:$A$801,A570,$G$2:$G$801,E570)&gt;1,"Team 1 listed twice this week",IF(COUNTIFS($A$2:$A$801,A570,$E$2:$E$801,G570)+COUNTIFS($A$2:$A$801,A570,$G$2:$G$801,G570)&gt;1,"Team 2 listed twice this week",""))))))))</f>
        <v/>
      </c>
    </row>
    <row r="571">
      <c r="A571" s="11" t="n"/>
      <c r="B571" s="9">
        <f>IF(A571="","",IFERROR(INDEX(Lists!$G$2:$G$7,MATCH(A571,Lists!$F$2:$F$7,0)),"?"))</f>
        <v/>
      </c>
      <c r="C571" s="4" t="n"/>
      <c r="D571" s="4" t="n"/>
      <c r="E571" s="4" t="n"/>
      <c r="F571" s="11" t="n"/>
      <c r="G571" s="4" t="n"/>
      <c r="H571" s="11" t="n"/>
      <c r="I571" s="11" t="n"/>
      <c r="J571" s="9">
        <f>IF(OR(F571="",H571=""),"",IF(F571&gt;H571,E571,IF(H571&gt;F571,G571,"")))</f>
        <v/>
      </c>
      <c r="K571" s="4" t="n"/>
      <c r="L571" s="9">
        <f>IF(COUNTA(A571,C571,D571,E571,F571,G571,H571,I571)=0,"",IF(OR(A571="",C571="",E571="",G571=""),"Missing week/class/team",IF(AND(D571="",I571&lt;&gt;"Y"),"No chapter (forfeit?)",IF(AND(D571&lt;&gt;"",I571="Y"),"Forfeit has a chapter",IF(OR(F571="",H571=""),"Missing score",IF(F571=H571,"Tie score",IF(COUNTIFS($A$2:$A$801,A571,$E$2:$E$801,E571)+COUNTIFS($A$2:$A$801,A571,$G$2:$G$801,E571)&gt;1,"Team 1 listed twice this week",IF(COUNTIFS($A$2:$A$801,A571,$E$2:$E$801,G571)+COUNTIFS($A$2:$A$801,A571,$G$2:$G$801,G571)&gt;1,"Team 2 listed twice this week",""))))))))</f>
        <v/>
      </c>
    </row>
    <row r="572">
      <c r="A572" s="11" t="n"/>
      <c r="B572" s="9">
        <f>IF(A572="","",IFERROR(INDEX(Lists!$G$2:$G$7,MATCH(A572,Lists!$F$2:$F$7,0)),"?"))</f>
        <v/>
      </c>
      <c r="C572" s="4" t="n"/>
      <c r="D572" s="4" t="n"/>
      <c r="E572" s="4" t="n"/>
      <c r="F572" s="11" t="n"/>
      <c r="G572" s="4" t="n"/>
      <c r="H572" s="11" t="n"/>
      <c r="I572" s="11" t="n"/>
      <c r="J572" s="9">
        <f>IF(OR(F572="",H572=""),"",IF(F572&gt;H572,E572,IF(H572&gt;F572,G572,"")))</f>
        <v/>
      </c>
      <c r="K572" s="4" t="n"/>
      <c r="L572" s="9">
        <f>IF(COUNTA(A572,C572,D572,E572,F572,G572,H572,I572)=0,"",IF(OR(A572="",C572="",E572="",G572=""),"Missing week/class/team",IF(AND(D572="",I572&lt;&gt;"Y"),"No chapter (forfeit?)",IF(AND(D572&lt;&gt;"",I572="Y"),"Forfeit has a chapter",IF(OR(F572="",H572=""),"Missing score",IF(F572=H572,"Tie score",IF(COUNTIFS($A$2:$A$801,A572,$E$2:$E$801,E572)+COUNTIFS($A$2:$A$801,A572,$G$2:$G$801,E572)&gt;1,"Team 1 listed twice this week",IF(COUNTIFS($A$2:$A$801,A572,$E$2:$E$801,G572)+COUNTIFS($A$2:$A$801,A572,$G$2:$G$801,G572)&gt;1,"Team 2 listed twice this week",""))))))))</f>
        <v/>
      </c>
    </row>
    <row r="573">
      <c r="A573" s="11" t="n"/>
      <c r="B573" s="9">
        <f>IF(A573="","",IFERROR(INDEX(Lists!$G$2:$G$7,MATCH(A573,Lists!$F$2:$F$7,0)),"?"))</f>
        <v/>
      </c>
      <c r="C573" s="4" t="n"/>
      <c r="D573" s="4" t="n"/>
      <c r="E573" s="4" t="n"/>
      <c r="F573" s="11" t="n"/>
      <c r="G573" s="4" t="n"/>
      <c r="H573" s="11" t="n"/>
      <c r="I573" s="11" t="n"/>
      <c r="J573" s="9">
        <f>IF(OR(F573="",H573=""),"",IF(F573&gt;H573,E573,IF(H573&gt;F573,G573,"")))</f>
        <v/>
      </c>
      <c r="K573" s="4" t="n"/>
      <c r="L573" s="9">
        <f>IF(COUNTA(A573,C573,D573,E573,F573,G573,H573,I573)=0,"",IF(OR(A573="",C573="",E573="",G573=""),"Missing week/class/team",IF(AND(D573="",I573&lt;&gt;"Y"),"No chapter (forfeit?)",IF(AND(D573&lt;&gt;"",I573="Y"),"Forfeit has a chapter",IF(OR(F573="",H573=""),"Missing score",IF(F573=H573,"Tie score",IF(COUNTIFS($A$2:$A$801,A573,$E$2:$E$801,E573)+COUNTIFS($A$2:$A$801,A573,$G$2:$G$801,E573)&gt;1,"Team 1 listed twice this week",IF(COUNTIFS($A$2:$A$801,A573,$E$2:$E$801,G573)+COUNTIFS($A$2:$A$801,A573,$G$2:$G$801,G573)&gt;1,"Team 2 listed twice this week",""))))))))</f>
        <v/>
      </c>
    </row>
    <row r="574">
      <c r="A574" s="11" t="n"/>
      <c r="B574" s="9">
        <f>IF(A574="","",IFERROR(INDEX(Lists!$G$2:$G$7,MATCH(A574,Lists!$F$2:$F$7,0)),"?"))</f>
        <v/>
      </c>
      <c r="C574" s="4" t="n"/>
      <c r="D574" s="4" t="n"/>
      <c r="E574" s="4" t="n"/>
      <c r="F574" s="11" t="n"/>
      <c r="G574" s="4" t="n"/>
      <c r="H574" s="11" t="n"/>
      <c r="I574" s="11" t="n"/>
      <c r="J574" s="9">
        <f>IF(OR(F574="",H574=""),"",IF(F574&gt;H574,E574,IF(H574&gt;F574,G574,"")))</f>
        <v/>
      </c>
      <c r="K574" s="4" t="n"/>
      <c r="L574" s="9">
        <f>IF(COUNTA(A574,C574,D574,E574,F574,G574,H574,I574)=0,"",IF(OR(A574="",C574="",E574="",G574=""),"Missing week/class/team",IF(AND(D574="",I574&lt;&gt;"Y"),"No chapter (forfeit?)",IF(AND(D574&lt;&gt;"",I574="Y"),"Forfeit has a chapter",IF(OR(F574="",H574=""),"Missing score",IF(F574=H574,"Tie score",IF(COUNTIFS($A$2:$A$801,A574,$E$2:$E$801,E574)+COUNTIFS($A$2:$A$801,A574,$G$2:$G$801,E574)&gt;1,"Team 1 listed twice this week",IF(COUNTIFS($A$2:$A$801,A574,$E$2:$E$801,G574)+COUNTIFS($A$2:$A$801,A574,$G$2:$G$801,G574)&gt;1,"Team 2 listed twice this week",""))))))))</f>
        <v/>
      </c>
    </row>
    <row r="575">
      <c r="A575" s="11" t="n"/>
      <c r="B575" s="9">
        <f>IF(A575="","",IFERROR(INDEX(Lists!$G$2:$G$7,MATCH(A575,Lists!$F$2:$F$7,0)),"?"))</f>
        <v/>
      </c>
      <c r="C575" s="4" t="n"/>
      <c r="D575" s="4" t="n"/>
      <c r="E575" s="4" t="n"/>
      <c r="F575" s="11" t="n"/>
      <c r="G575" s="4" t="n"/>
      <c r="H575" s="11" t="n"/>
      <c r="I575" s="11" t="n"/>
      <c r="J575" s="9">
        <f>IF(OR(F575="",H575=""),"",IF(F575&gt;H575,E575,IF(H575&gt;F575,G575,"")))</f>
        <v/>
      </c>
      <c r="K575" s="4" t="n"/>
      <c r="L575" s="9">
        <f>IF(COUNTA(A575,C575,D575,E575,F575,G575,H575,I575)=0,"",IF(OR(A575="",C575="",E575="",G575=""),"Missing week/class/team",IF(AND(D575="",I575&lt;&gt;"Y"),"No chapter (forfeit?)",IF(AND(D575&lt;&gt;"",I575="Y"),"Forfeit has a chapter",IF(OR(F575="",H575=""),"Missing score",IF(F575=H575,"Tie score",IF(COUNTIFS($A$2:$A$801,A575,$E$2:$E$801,E575)+COUNTIFS($A$2:$A$801,A575,$G$2:$G$801,E575)&gt;1,"Team 1 listed twice this week",IF(COUNTIFS($A$2:$A$801,A575,$E$2:$E$801,G575)+COUNTIFS($A$2:$A$801,A575,$G$2:$G$801,G575)&gt;1,"Team 2 listed twice this week",""))))))))</f>
        <v/>
      </c>
    </row>
    <row r="576">
      <c r="A576" s="11" t="n"/>
      <c r="B576" s="9">
        <f>IF(A576="","",IFERROR(INDEX(Lists!$G$2:$G$7,MATCH(A576,Lists!$F$2:$F$7,0)),"?"))</f>
        <v/>
      </c>
      <c r="C576" s="4" t="n"/>
      <c r="D576" s="4" t="n"/>
      <c r="E576" s="4" t="n"/>
      <c r="F576" s="11" t="n"/>
      <c r="G576" s="4" t="n"/>
      <c r="H576" s="11" t="n"/>
      <c r="I576" s="11" t="n"/>
      <c r="J576" s="9">
        <f>IF(OR(F576="",H576=""),"",IF(F576&gt;H576,E576,IF(H576&gt;F576,G576,"")))</f>
        <v/>
      </c>
      <c r="K576" s="4" t="n"/>
      <c r="L576" s="9">
        <f>IF(COUNTA(A576,C576,D576,E576,F576,G576,H576,I576)=0,"",IF(OR(A576="",C576="",E576="",G576=""),"Missing week/class/team",IF(AND(D576="",I576&lt;&gt;"Y"),"No chapter (forfeit?)",IF(AND(D576&lt;&gt;"",I576="Y"),"Forfeit has a chapter",IF(OR(F576="",H576=""),"Missing score",IF(F576=H576,"Tie score",IF(COUNTIFS($A$2:$A$801,A576,$E$2:$E$801,E576)+COUNTIFS($A$2:$A$801,A576,$G$2:$G$801,E576)&gt;1,"Team 1 listed twice this week",IF(COUNTIFS($A$2:$A$801,A576,$E$2:$E$801,G576)+COUNTIFS($A$2:$A$801,A576,$G$2:$G$801,G576)&gt;1,"Team 2 listed twice this week",""))))))))</f>
        <v/>
      </c>
    </row>
    <row r="577">
      <c r="A577" s="11" t="n"/>
      <c r="B577" s="9">
        <f>IF(A577="","",IFERROR(INDEX(Lists!$G$2:$G$7,MATCH(A577,Lists!$F$2:$F$7,0)),"?"))</f>
        <v/>
      </c>
      <c r="C577" s="4" t="n"/>
      <c r="D577" s="4" t="n"/>
      <c r="E577" s="4" t="n"/>
      <c r="F577" s="11" t="n"/>
      <c r="G577" s="4" t="n"/>
      <c r="H577" s="11" t="n"/>
      <c r="I577" s="11" t="n"/>
      <c r="J577" s="9">
        <f>IF(OR(F577="",H577=""),"",IF(F577&gt;H577,E577,IF(H577&gt;F577,G577,"")))</f>
        <v/>
      </c>
      <c r="K577" s="4" t="n"/>
      <c r="L577" s="9">
        <f>IF(COUNTA(A577,C577,D577,E577,F577,G577,H577,I577)=0,"",IF(OR(A577="",C577="",E577="",G577=""),"Missing week/class/team",IF(AND(D577="",I577&lt;&gt;"Y"),"No chapter (forfeit?)",IF(AND(D577&lt;&gt;"",I577="Y"),"Forfeit has a chapter",IF(OR(F577="",H577=""),"Missing score",IF(F577=H577,"Tie score",IF(COUNTIFS($A$2:$A$801,A577,$E$2:$E$801,E577)+COUNTIFS($A$2:$A$801,A577,$G$2:$G$801,E577)&gt;1,"Team 1 listed twice this week",IF(COUNTIFS($A$2:$A$801,A577,$E$2:$E$801,G577)+COUNTIFS($A$2:$A$801,A577,$G$2:$G$801,G577)&gt;1,"Team 2 listed twice this week",""))))))))</f>
        <v/>
      </c>
    </row>
    <row r="578">
      <c r="A578" s="11" t="n"/>
      <c r="B578" s="9">
        <f>IF(A578="","",IFERROR(INDEX(Lists!$G$2:$G$7,MATCH(A578,Lists!$F$2:$F$7,0)),"?"))</f>
        <v/>
      </c>
      <c r="C578" s="4" t="n"/>
      <c r="D578" s="4" t="n"/>
      <c r="E578" s="4" t="n"/>
      <c r="F578" s="11" t="n"/>
      <c r="G578" s="4" t="n"/>
      <c r="H578" s="11" t="n"/>
      <c r="I578" s="11" t="n"/>
      <c r="J578" s="9">
        <f>IF(OR(F578="",H578=""),"",IF(F578&gt;H578,E578,IF(H578&gt;F578,G578,"")))</f>
        <v/>
      </c>
      <c r="K578" s="4" t="n"/>
      <c r="L578" s="9">
        <f>IF(COUNTA(A578,C578,D578,E578,F578,G578,H578,I578)=0,"",IF(OR(A578="",C578="",E578="",G578=""),"Missing week/class/team",IF(AND(D578="",I578&lt;&gt;"Y"),"No chapter (forfeit?)",IF(AND(D578&lt;&gt;"",I578="Y"),"Forfeit has a chapter",IF(OR(F578="",H578=""),"Missing score",IF(F578=H578,"Tie score",IF(COUNTIFS($A$2:$A$801,A578,$E$2:$E$801,E578)+COUNTIFS($A$2:$A$801,A578,$G$2:$G$801,E578)&gt;1,"Team 1 listed twice this week",IF(COUNTIFS($A$2:$A$801,A578,$E$2:$E$801,G578)+COUNTIFS($A$2:$A$801,A578,$G$2:$G$801,G578)&gt;1,"Team 2 listed twice this week",""))))))))</f>
        <v/>
      </c>
    </row>
    <row r="579">
      <c r="A579" s="11" t="n"/>
      <c r="B579" s="9">
        <f>IF(A579="","",IFERROR(INDEX(Lists!$G$2:$G$7,MATCH(A579,Lists!$F$2:$F$7,0)),"?"))</f>
        <v/>
      </c>
      <c r="C579" s="4" t="n"/>
      <c r="D579" s="4" t="n"/>
      <c r="E579" s="4" t="n"/>
      <c r="F579" s="11" t="n"/>
      <c r="G579" s="4" t="n"/>
      <c r="H579" s="11" t="n"/>
      <c r="I579" s="11" t="n"/>
      <c r="J579" s="9">
        <f>IF(OR(F579="",H579=""),"",IF(F579&gt;H579,E579,IF(H579&gt;F579,G579,"")))</f>
        <v/>
      </c>
      <c r="K579" s="4" t="n"/>
      <c r="L579" s="9">
        <f>IF(COUNTA(A579,C579,D579,E579,F579,G579,H579,I579)=0,"",IF(OR(A579="",C579="",E579="",G579=""),"Missing week/class/team",IF(AND(D579="",I579&lt;&gt;"Y"),"No chapter (forfeit?)",IF(AND(D579&lt;&gt;"",I579="Y"),"Forfeit has a chapter",IF(OR(F579="",H579=""),"Missing score",IF(F579=H579,"Tie score",IF(COUNTIFS($A$2:$A$801,A579,$E$2:$E$801,E579)+COUNTIFS($A$2:$A$801,A579,$G$2:$G$801,E579)&gt;1,"Team 1 listed twice this week",IF(COUNTIFS($A$2:$A$801,A579,$E$2:$E$801,G579)+COUNTIFS($A$2:$A$801,A579,$G$2:$G$801,G579)&gt;1,"Team 2 listed twice this week",""))))))))</f>
        <v/>
      </c>
    </row>
    <row r="580">
      <c r="A580" s="11" t="n"/>
      <c r="B580" s="9">
        <f>IF(A580="","",IFERROR(INDEX(Lists!$G$2:$G$7,MATCH(A580,Lists!$F$2:$F$7,0)),"?"))</f>
        <v/>
      </c>
      <c r="C580" s="4" t="n"/>
      <c r="D580" s="4" t="n"/>
      <c r="E580" s="4" t="n"/>
      <c r="F580" s="11" t="n"/>
      <c r="G580" s="4" t="n"/>
      <c r="H580" s="11" t="n"/>
      <c r="I580" s="11" t="n"/>
      <c r="J580" s="9">
        <f>IF(OR(F580="",H580=""),"",IF(F580&gt;H580,E580,IF(H580&gt;F580,G580,"")))</f>
        <v/>
      </c>
      <c r="K580" s="4" t="n"/>
      <c r="L580" s="9">
        <f>IF(COUNTA(A580,C580,D580,E580,F580,G580,H580,I580)=0,"",IF(OR(A580="",C580="",E580="",G580=""),"Missing week/class/team",IF(AND(D580="",I580&lt;&gt;"Y"),"No chapter (forfeit?)",IF(AND(D580&lt;&gt;"",I580="Y"),"Forfeit has a chapter",IF(OR(F580="",H580=""),"Missing score",IF(F580=H580,"Tie score",IF(COUNTIFS($A$2:$A$801,A580,$E$2:$E$801,E580)+COUNTIFS($A$2:$A$801,A580,$G$2:$G$801,E580)&gt;1,"Team 1 listed twice this week",IF(COUNTIFS($A$2:$A$801,A580,$E$2:$E$801,G580)+COUNTIFS($A$2:$A$801,A580,$G$2:$G$801,G580)&gt;1,"Team 2 listed twice this week",""))))))))</f>
        <v/>
      </c>
    </row>
    <row r="581">
      <c r="A581" s="11" t="n"/>
      <c r="B581" s="9">
        <f>IF(A581="","",IFERROR(INDEX(Lists!$G$2:$G$7,MATCH(A581,Lists!$F$2:$F$7,0)),"?"))</f>
        <v/>
      </c>
      <c r="C581" s="4" t="n"/>
      <c r="D581" s="4" t="n"/>
      <c r="E581" s="4" t="n"/>
      <c r="F581" s="11" t="n"/>
      <c r="G581" s="4" t="n"/>
      <c r="H581" s="11" t="n"/>
      <c r="I581" s="11" t="n"/>
      <c r="J581" s="9">
        <f>IF(OR(F581="",H581=""),"",IF(F581&gt;H581,E581,IF(H581&gt;F581,G581,"")))</f>
        <v/>
      </c>
      <c r="K581" s="4" t="n"/>
      <c r="L581" s="9">
        <f>IF(COUNTA(A581,C581,D581,E581,F581,G581,H581,I581)=0,"",IF(OR(A581="",C581="",E581="",G581=""),"Missing week/class/team",IF(AND(D581="",I581&lt;&gt;"Y"),"No chapter (forfeit?)",IF(AND(D581&lt;&gt;"",I581="Y"),"Forfeit has a chapter",IF(OR(F581="",H581=""),"Missing score",IF(F581=H581,"Tie score",IF(COUNTIFS($A$2:$A$801,A581,$E$2:$E$801,E581)+COUNTIFS($A$2:$A$801,A581,$G$2:$G$801,E581)&gt;1,"Team 1 listed twice this week",IF(COUNTIFS($A$2:$A$801,A581,$E$2:$E$801,G581)+COUNTIFS($A$2:$A$801,A581,$G$2:$G$801,G581)&gt;1,"Team 2 listed twice this week",""))))))))</f>
        <v/>
      </c>
    </row>
    <row r="582">
      <c r="A582" s="11" t="n"/>
      <c r="B582" s="9">
        <f>IF(A582="","",IFERROR(INDEX(Lists!$G$2:$G$7,MATCH(A582,Lists!$F$2:$F$7,0)),"?"))</f>
        <v/>
      </c>
      <c r="C582" s="4" t="n"/>
      <c r="D582" s="4" t="n"/>
      <c r="E582" s="4" t="n"/>
      <c r="F582" s="11" t="n"/>
      <c r="G582" s="4" t="n"/>
      <c r="H582" s="11" t="n"/>
      <c r="I582" s="11" t="n"/>
      <c r="J582" s="9">
        <f>IF(OR(F582="",H582=""),"",IF(F582&gt;H582,E582,IF(H582&gt;F582,G582,"")))</f>
        <v/>
      </c>
      <c r="K582" s="4" t="n"/>
      <c r="L582" s="9">
        <f>IF(COUNTA(A582,C582,D582,E582,F582,G582,H582,I582)=0,"",IF(OR(A582="",C582="",E582="",G582=""),"Missing week/class/team",IF(AND(D582="",I582&lt;&gt;"Y"),"No chapter (forfeit?)",IF(AND(D582&lt;&gt;"",I582="Y"),"Forfeit has a chapter",IF(OR(F582="",H582=""),"Missing score",IF(F582=H582,"Tie score",IF(COUNTIFS($A$2:$A$801,A582,$E$2:$E$801,E582)+COUNTIFS($A$2:$A$801,A582,$G$2:$G$801,E582)&gt;1,"Team 1 listed twice this week",IF(COUNTIFS($A$2:$A$801,A582,$E$2:$E$801,G582)+COUNTIFS($A$2:$A$801,A582,$G$2:$G$801,G582)&gt;1,"Team 2 listed twice this week",""))))))))</f>
        <v/>
      </c>
    </row>
    <row r="583">
      <c r="A583" s="11" t="n"/>
      <c r="B583" s="9">
        <f>IF(A583="","",IFERROR(INDEX(Lists!$G$2:$G$7,MATCH(A583,Lists!$F$2:$F$7,0)),"?"))</f>
        <v/>
      </c>
      <c r="C583" s="4" t="n"/>
      <c r="D583" s="4" t="n"/>
      <c r="E583" s="4" t="n"/>
      <c r="F583" s="11" t="n"/>
      <c r="G583" s="4" t="n"/>
      <c r="H583" s="11" t="n"/>
      <c r="I583" s="11" t="n"/>
      <c r="J583" s="9">
        <f>IF(OR(F583="",H583=""),"",IF(F583&gt;H583,E583,IF(H583&gt;F583,G583,"")))</f>
        <v/>
      </c>
      <c r="K583" s="4" t="n"/>
      <c r="L583" s="9">
        <f>IF(COUNTA(A583,C583,D583,E583,F583,G583,H583,I583)=0,"",IF(OR(A583="",C583="",E583="",G583=""),"Missing week/class/team",IF(AND(D583="",I583&lt;&gt;"Y"),"No chapter (forfeit?)",IF(AND(D583&lt;&gt;"",I583="Y"),"Forfeit has a chapter",IF(OR(F583="",H583=""),"Missing score",IF(F583=H583,"Tie score",IF(COUNTIFS($A$2:$A$801,A583,$E$2:$E$801,E583)+COUNTIFS($A$2:$A$801,A583,$G$2:$G$801,E583)&gt;1,"Team 1 listed twice this week",IF(COUNTIFS($A$2:$A$801,A583,$E$2:$E$801,G583)+COUNTIFS($A$2:$A$801,A583,$G$2:$G$801,G583)&gt;1,"Team 2 listed twice this week",""))))))))</f>
        <v/>
      </c>
    </row>
    <row r="584">
      <c r="A584" s="11" t="n"/>
      <c r="B584" s="9">
        <f>IF(A584="","",IFERROR(INDEX(Lists!$G$2:$G$7,MATCH(A584,Lists!$F$2:$F$7,0)),"?"))</f>
        <v/>
      </c>
      <c r="C584" s="4" t="n"/>
      <c r="D584" s="4" t="n"/>
      <c r="E584" s="4" t="n"/>
      <c r="F584" s="11" t="n"/>
      <c r="G584" s="4" t="n"/>
      <c r="H584" s="11" t="n"/>
      <c r="I584" s="11" t="n"/>
      <c r="J584" s="9">
        <f>IF(OR(F584="",H584=""),"",IF(F584&gt;H584,E584,IF(H584&gt;F584,G584,"")))</f>
        <v/>
      </c>
      <c r="K584" s="4" t="n"/>
      <c r="L584" s="9">
        <f>IF(COUNTA(A584,C584,D584,E584,F584,G584,H584,I584)=0,"",IF(OR(A584="",C584="",E584="",G584=""),"Missing week/class/team",IF(AND(D584="",I584&lt;&gt;"Y"),"No chapter (forfeit?)",IF(AND(D584&lt;&gt;"",I584="Y"),"Forfeit has a chapter",IF(OR(F584="",H584=""),"Missing score",IF(F584=H584,"Tie score",IF(COUNTIFS($A$2:$A$801,A584,$E$2:$E$801,E584)+COUNTIFS($A$2:$A$801,A584,$G$2:$G$801,E584)&gt;1,"Team 1 listed twice this week",IF(COUNTIFS($A$2:$A$801,A584,$E$2:$E$801,G584)+COUNTIFS($A$2:$A$801,A584,$G$2:$G$801,G584)&gt;1,"Team 2 listed twice this week",""))))))))</f>
        <v/>
      </c>
    </row>
    <row r="585">
      <c r="A585" s="11" t="n"/>
      <c r="B585" s="9">
        <f>IF(A585="","",IFERROR(INDEX(Lists!$G$2:$G$7,MATCH(A585,Lists!$F$2:$F$7,0)),"?"))</f>
        <v/>
      </c>
      <c r="C585" s="4" t="n"/>
      <c r="D585" s="4" t="n"/>
      <c r="E585" s="4" t="n"/>
      <c r="F585" s="11" t="n"/>
      <c r="G585" s="4" t="n"/>
      <c r="H585" s="11" t="n"/>
      <c r="I585" s="11" t="n"/>
      <c r="J585" s="9">
        <f>IF(OR(F585="",H585=""),"",IF(F585&gt;H585,E585,IF(H585&gt;F585,G585,"")))</f>
        <v/>
      </c>
      <c r="K585" s="4" t="n"/>
      <c r="L585" s="9">
        <f>IF(COUNTA(A585,C585,D585,E585,F585,G585,H585,I585)=0,"",IF(OR(A585="",C585="",E585="",G585=""),"Missing week/class/team",IF(AND(D585="",I585&lt;&gt;"Y"),"No chapter (forfeit?)",IF(AND(D585&lt;&gt;"",I585="Y"),"Forfeit has a chapter",IF(OR(F585="",H585=""),"Missing score",IF(F585=H585,"Tie score",IF(COUNTIFS($A$2:$A$801,A585,$E$2:$E$801,E585)+COUNTIFS($A$2:$A$801,A585,$G$2:$G$801,E585)&gt;1,"Team 1 listed twice this week",IF(COUNTIFS($A$2:$A$801,A585,$E$2:$E$801,G585)+COUNTIFS($A$2:$A$801,A585,$G$2:$G$801,G585)&gt;1,"Team 2 listed twice this week",""))))))))</f>
        <v/>
      </c>
    </row>
    <row r="586">
      <c r="A586" s="11" t="n"/>
      <c r="B586" s="9">
        <f>IF(A586="","",IFERROR(INDEX(Lists!$G$2:$G$7,MATCH(A586,Lists!$F$2:$F$7,0)),"?"))</f>
        <v/>
      </c>
      <c r="C586" s="4" t="n"/>
      <c r="D586" s="4" t="n"/>
      <c r="E586" s="4" t="n"/>
      <c r="F586" s="11" t="n"/>
      <c r="G586" s="4" t="n"/>
      <c r="H586" s="11" t="n"/>
      <c r="I586" s="11" t="n"/>
      <c r="J586" s="9">
        <f>IF(OR(F586="",H586=""),"",IF(F586&gt;H586,E586,IF(H586&gt;F586,G586,"")))</f>
        <v/>
      </c>
      <c r="K586" s="4" t="n"/>
      <c r="L586" s="9">
        <f>IF(COUNTA(A586,C586,D586,E586,F586,G586,H586,I586)=0,"",IF(OR(A586="",C586="",E586="",G586=""),"Missing week/class/team",IF(AND(D586="",I586&lt;&gt;"Y"),"No chapter (forfeit?)",IF(AND(D586&lt;&gt;"",I586="Y"),"Forfeit has a chapter",IF(OR(F586="",H586=""),"Missing score",IF(F586=H586,"Tie score",IF(COUNTIFS($A$2:$A$801,A586,$E$2:$E$801,E586)+COUNTIFS($A$2:$A$801,A586,$G$2:$G$801,E586)&gt;1,"Team 1 listed twice this week",IF(COUNTIFS($A$2:$A$801,A586,$E$2:$E$801,G586)+COUNTIFS($A$2:$A$801,A586,$G$2:$G$801,G586)&gt;1,"Team 2 listed twice this week",""))))))))</f>
        <v/>
      </c>
    </row>
    <row r="587">
      <c r="A587" s="11" t="n"/>
      <c r="B587" s="9">
        <f>IF(A587="","",IFERROR(INDEX(Lists!$G$2:$G$7,MATCH(A587,Lists!$F$2:$F$7,0)),"?"))</f>
        <v/>
      </c>
      <c r="C587" s="4" t="n"/>
      <c r="D587" s="4" t="n"/>
      <c r="E587" s="4" t="n"/>
      <c r="F587" s="11" t="n"/>
      <c r="G587" s="4" t="n"/>
      <c r="H587" s="11" t="n"/>
      <c r="I587" s="11" t="n"/>
      <c r="J587" s="9">
        <f>IF(OR(F587="",H587=""),"",IF(F587&gt;H587,E587,IF(H587&gt;F587,G587,"")))</f>
        <v/>
      </c>
      <c r="K587" s="4" t="n"/>
      <c r="L587" s="9">
        <f>IF(COUNTA(A587,C587,D587,E587,F587,G587,H587,I587)=0,"",IF(OR(A587="",C587="",E587="",G587=""),"Missing week/class/team",IF(AND(D587="",I587&lt;&gt;"Y"),"No chapter (forfeit?)",IF(AND(D587&lt;&gt;"",I587="Y"),"Forfeit has a chapter",IF(OR(F587="",H587=""),"Missing score",IF(F587=H587,"Tie score",IF(COUNTIFS($A$2:$A$801,A587,$E$2:$E$801,E587)+COUNTIFS($A$2:$A$801,A587,$G$2:$G$801,E587)&gt;1,"Team 1 listed twice this week",IF(COUNTIFS($A$2:$A$801,A587,$E$2:$E$801,G587)+COUNTIFS($A$2:$A$801,A587,$G$2:$G$801,G587)&gt;1,"Team 2 listed twice this week",""))))))))</f>
        <v/>
      </c>
    </row>
    <row r="588">
      <c r="A588" s="11" t="n"/>
      <c r="B588" s="9">
        <f>IF(A588="","",IFERROR(INDEX(Lists!$G$2:$G$7,MATCH(A588,Lists!$F$2:$F$7,0)),"?"))</f>
        <v/>
      </c>
      <c r="C588" s="4" t="n"/>
      <c r="D588" s="4" t="n"/>
      <c r="E588" s="4" t="n"/>
      <c r="F588" s="11" t="n"/>
      <c r="G588" s="4" t="n"/>
      <c r="H588" s="11" t="n"/>
      <c r="I588" s="11" t="n"/>
      <c r="J588" s="9">
        <f>IF(OR(F588="",H588=""),"",IF(F588&gt;H588,E588,IF(H588&gt;F588,G588,"")))</f>
        <v/>
      </c>
      <c r="K588" s="4" t="n"/>
      <c r="L588" s="9">
        <f>IF(COUNTA(A588,C588,D588,E588,F588,G588,H588,I588)=0,"",IF(OR(A588="",C588="",E588="",G588=""),"Missing week/class/team",IF(AND(D588="",I588&lt;&gt;"Y"),"No chapter (forfeit?)",IF(AND(D588&lt;&gt;"",I588="Y"),"Forfeit has a chapter",IF(OR(F588="",H588=""),"Missing score",IF(F588=H588,"Tie score",IF(COUNTIFS($A$2:$A$801,A588,$E$2:$E$801,E588)+COUNTIFS($A$2:$A$801,A588,$G$2:$G$801,E588)&gt;1,"Team 1 listed twice this week",IF(COUNTIFS($A$2:$A$801,A588,$E$2:$E$801,G588)+COUNTIFS($A$2:$A$801,A588,$G$2:$G$801,G588)&gt;1,"Team 2 listed twice this week",""))))))))</f>
        <v/>
      </c>
    </row>
    <row r="589">
      <c r="A589" s="11" t="n"/>
      <c r="B589" s="9">
        <f>IF(A589="","",IFERROR(INDEX(Lists!$G$2:$G$7,MATCH(A589,Lists!$F$2:$F$7,0)),"?"))</f>
        <v/>
      </c>
      <c r="C589" s="4" t="n"/>
      <c r="D589" s="4" t="n"/>
      <c r="E589" s="4" t="n"/>
      <c r="F589" s="11" t="n"/>
      <c r="G589" s="4" t="n"/>
      <c r="H589" s="11" t="n"/>
      <c r="I589" s="11" t="n"/>
      <c r="J589" s="9">
        <f>IF(OR(F589="",H589=""),"",IF(F589&gt;H589,E589,IF(H589&gt;F589,G589,"")))</f>
        <v/>
      </c>
      <c r="K589" s="4" t="n"/>
      <c r="L589" s="9">
        <f>IF(COUNTA(A589,C589,D589,E589,F589,G589,H589,I589)=0,"",IF(OR(A589="",C589="",E589="",G589=""),"Missing week/class/team",IF(AND(D589="",I589&lt;&gt;"Y"),"No chapter (forfeit?)",IF(AND(D589&lt;&gt;"",I589="Y"),"Forfeit has a chapter",IF(OR(F589="",H589=""),"Missing score",IF(F589=H589,"Tie score",IF(COUNTIFS($A$2:$A$801,A589,$E$2:$E$801,E589)+COUNTIFS($A$2:$A$801,A589,$G$2:$G$801,E589)&gt;1,"Team 1 listed twice this week",IF(COUNTIFS($A$2:$A$801,A589,$E$2:$E$801,G589)+COUNTIFS($A$2:$A$801,A589,$G$2:$G$801,G589)&gt;1,"Team 2 listed twice this week",""))))))))</f>
        <v/>
      </c>
    </row>
    <row r="590">
      <c r="A590" s="11" t="n"/>
      <c r="B590" s="9">
        <f>IF(A590="","",IFERROR(INDEX(Lists!$G$2:$G$7,MATCH(A590,Lists!$F$2:$F$7,0)),"?"))</f>
        <v/>
      </c>
      <c r="C590" s="4" t="n"/>
      <c r="D590" s="4" t="n"/>
      <c r="E590" s="4" t="n"/>
      <c r="F590" s="11" t="n"/>
      <c r="G590" s="4" t="n"/>
      <c r="H590" s="11" t="n"/>
      <c r="I590" s="11" t="n"/>
      <c r="J590" s="9">
        <f>IF(OR(F590="",H590=""),"",IF(F590&gt;H590,E590,IF(H590&gt;F590,G590,"")))</f>
        <v/>
      </c>
      <c r="K590" s="4" t="n"/>
      <c r="L590" s="9">
        <f>IF(COUNTA(A590,C590,D590,E590,F590,G590,H590,I590)=0,"",IF(OR(A590="",C590="",E590="",G590=""),"Missing week/class/team",IF(AND(D590="",I590&lt;&gt;"Y"),"No chapter (forfeit?)",IF(AND(D590&lt;&gt;"",I590="Y"),"Forfeit has a chapter",IF(OR(F590="",H590=""),"Missing score",IF(F590=H590,"Tie score",IF(COUNTIFS($A$2:$A$801,A590,$E$2:$E$801,E590)+COUNTIFS($A$2:$A$801,A590,$G$2:$G$801,E590)&gt;1,"Team 1 listed twice this week",IF(COUNTIFS($A$2:$A$801,A590,$E$2:$E$801,G590)+COUNTIFS($A$2:$A$801,A590,$G$2:$G$801,G590)&gt;1,"Team 2 listed twice this week",""))))))))</f>
        <v/>
      </c>
    </row>
    <row r="591">
      <c r="A591" s="11" t="n"/>
      <c r="B591" s="9">
        <f>IF(A591="","",IFERROR(INDEX(Lists!$G$2:$G$7,MATCH(A591,Lists!$F$2:$F$7,0)),"?"))</f>
        <v/>
      </c>
      <c r="C591" s="4" t="n"/>
      <c r="D591" s="4" t="n"/>
      <c r="E591" s="4" t="n"/>
      <c r="F591" s="11" t="n"/>
      <c r="G591" s="4" t="n"/>
      <c r="H591" s="11" t="n"/>
      <c r="I591" s="11" t="n"/>
      <c r="J591" s="9">
        <f>IF(OR(F591="",H591=""),"",IF(F591&gt;H591,E591,IF(H591&gt;F591,G591,"")))</f>
        <v/>
      </c>
      <c r="K591" s="4" t="n"/>
      <c r="L591" s="9">
        <f>IF(COUNTA(A591,C591,D591,E591,F591,G591,H591,I591)=0,"",IF(OR(A591="",C591="",E591="",G591=""),"Missing week/class/team",IF(AND(D591="",I591&lt;&gt;"Y"),"No chapter (forfeit?)",IF(AND(D591&lt;&gt;"",I591="Y"),"Forfeit has a chapter",IF(OR(F591="",H591=""),"Missing score",IF(F591=H591,"Tie score",IF(COUNTIFS($A$2:$A$801,A591,$E$2:$E$801,E591)+COUNTIFS($A$2:$A$801,A591,$G$2:$G$801,E591)&gt;1,"Team 1 listed twice this week",IF(COUNTIFS($A$2:$A$801,A591,$E$2:$E$801,G591)+COUNTIFS($A$2:$A$801,A591,$G$2:$G$801,G591)&gt;1,"Team 2 listed twice this week",""))))))))</f>
        <v/>
      </c>
    </row>
    <row r="592">
      <c r="A592" s="11" t="n"/>
      <c r="B592" s="9">
        <f>IF(A592="","",IFERROR(INDEX(Lists!$G$2:$G$7,MATCH(A592,Lists!$F$2:$F$7,0)),"?"))</f>
        <v/>
      </c>
      <c r="C592" s="4" t="n"/>
      <c r="D592" s="4" t="n"/>
      <c r="E592" s="4" t="n"/>
      <c r="F592" s="11" t="n"/>
      <c r="G592" s="4" t="n"/>
      <c r="H592" s="11" t="n"/>
      <c r="I592" s="11" t="n"/>
      <c r="J592" s="9">
        <f>IF(OR(F592="",H592=""),"",IF(F592&gt;H592,E592,IF(H592&gt;F592,G592,"")))</f>
        <v/>
      </c>
      <c r="K592" s="4" t="n"/>
      <c r="L592" s="9">
        <f>IF(COUNTA(A592,C592,D592,E592,F592,G592,H592,I592)=0,"",IF(OR(A592="",C592="",E592="",G592=""),"Missing week/class/team",IF(AND(D592="",I592&lt;&gt;"Y"),"No chapter (forfeit?)",IF(AND(D592&lt;&gt;"",I592="Y"),"Forfeit has a chapter",IF(OR(F592="",H592=""),"Missing score",IF(F592=H592,"Tie score",IF(COUNTIFS($A$2:$A$801,A592,$E$2:$E$801,E592)+COUNTIFS($A$2:$A$801,A592,$G$2:$G$801,E592)&gt;1,"Team 1 listed twice this week",IF(COUNTIFS($A$2:$A$801,A592,$E$2:$E$801,G592)+COUNTIFS($A$2:$A$801,A592,$G$2:$G$801,G592)&gt;1,"Team 2 listed twice this week",""))))))))</f>
        <v/>
      </c>
    </row>
    <row r="593">
      <c r="A593" s="11" t="n"/>
      <c r="B593" s="9">
        <f>IF(A593="","",IFERROR(INDEX(Lists!$G$2:$G$7,MATCH(A593,Lists!$F$2:$F$7,0)),"?"))</f>
        <v/>
      </c>
      <c r="C593" s="4" t="n"/>
      <c r="D593" s="4" t="n"/>
      <c r="E593" s="4" t="n"/>
      <c r="F593" s="11" t="n"/>
      <c r="G593" s="4" t="n"/>
      <c r="H593" s="11" t="n"/>
      <c r="I593" s="11" t="n"/>
      <c r="J593" s="9">
        <f>IF(OR(F593="",H593=""),"",IF(F593&gt;H593,E593,IF(H593&gt;F593,G593,"")))</f>
        <v/>
      </c>
      <c r="K593" s="4" t="n"/>
      <c r="L593" s="9">
        <f>IF(COUNTA(A593,C593,D593,E593,F593,G593,H593,I593)=0,"",IF(OR(A593="",C593="",E593="",G593=""),"Missing week/class/team",IF(AND(D593="",I593&lt;&gt;"Y"),"No chapter (forfeit?)",IF(AND(D593&lt;&gt;"",I593="Y"),"Forfeit has a chapter",IF(OR(F593="",H593=""),"Missing score",IF(F593=H593,"Tie score",IF(COUNTIFS($A$2:$A$801,A593,$E$2:$E$801,E593)+COUNTIFS($A$2:$A$801,A593,$G$2:$G$801,E593)&gt;1,"Team 1 listed twice this week",IF(COUNTIFS($A$2:$A$801,A593,$E$2:$E$801,G593)+COUNTIFS($A$2:$A$801,A593,$G$2:$G$801,G593)&gt;1,"Team 2 listed twice this week",""))))))))</f>
        <v/>
      </c>
    </row>
    <row r="594">
      <c r="A594" s="11" t="n"/>
      <c r="B594" s="9">
        <f>IF(A594="","",IFERROR(INDEX(Lists!$G$2:$G$7,MATCH(A594,Lists!$F$2:$F$7,0)),"?"))</f>
        <v/>
      </c>
      <c r="C594" s="4" t="n"/>
      <c r="D594" s="4" t="n"/>
      <c r="E594" s="4" t="n"/>
      <c r="F594" s="11" t="n"/>
      <c r="G594" s="4" t="n"/>
      <c r="H594" s="11" t="n"/>
      <c r="I594" s="11" t="n"/>
      <c r="J594" s="9">
        <f>IF(OR(F594="",H594=""),"",IF(F594&gt;H594,E594,IF(H594&gt;F594,G594,"")))</f>
        <v/>
      </c>
      <c r="K594" s="4" t="n"/>
      <c r="L594" s="9">
        <f>IF(COUNTA(A594,C594,D594,E594,F594,G594,H594,I594)=0,"",IF(OR(A594="",C594="",E594="",G594=""),"Missing week/class/team",IF(AND(D594="",I594&lt;&gt;"Y"),"No chapter (forfeit?)",IF(AND(D594&lt;&gt;"",I594="Y"),"Forfeit has a chapter",IF(OR(F594="",H594=""),"Missing score",IF(F594=H594,"Tie score",IF(COUNTIFS($A$2:$A$801,A594,$E$2:$E$801,E594)+COUNTIFS($A$2:$A$801,A594,$G$2:$G$801,E594)&gt;1,"Team 1 listed twice this week",IF(COUNTIFS($A$2:$A$801,A594,$E$2:$E$801,G594)+COUNTIFS($A$2:$A$801,A594,$G$2:$G$801,G594)&gt;1,"Team 2 listed twice this week",""))))))))</f>
        <v/>
      </c>
    </row>
    <row r="595">
      <c r="A595" s="11" t="n"/>
      <c r="B595" s="9">
        <f>IF(A595="","",IFERROR(INDEX(Lists!$G$2:$G$7,MATCH(A595,Lists!$F$2:$F$7,0)),"?"))</f>
        <v/>
      </c>
      <c r="C595" s="4" t="n"/>
      <c r="D595" s="4" t="n"/>
      <c r="E595" s="4" t="n"/>
      <c r="F595" s="11" t="n"/>
      <c r="G595" s="4" t="n"/>
      <c r="H595" s="11" t="n"/>
      <c r="I595" s="11" t="n"/>
      <c r="J595" s="9">
        <f>IF(OR(F595="",H595=""),"",IF(F595&gt;H595,E595,IF(H595&gt;F595,G595,"")))</f>
        <v/>
      </c>
      <c r="K595" s="4" t="n"/>
      <c r="L595" s="9">
        <f>IF(COUNTA(A595,C595,D595,E595,F595,G595,H595,I595)=0,"",IF(OR(A595="",C595="",E595="",G595=""),"Missing week/class/team",IF(AND(D595="",I595&lt;&gt;"Y"),"No chapter (forfeit?)",IF(AND(D595&lt;&gt;"",I595="Y"),"Forfeit has a chapter",IF(OR(F595="",H595=""),"Missing score",IF(F595=H595,"Tie score",IF(COUNTIFS($A$2:$A$801,A595,$E$2:$E$801,E595)+COUNTIFS($A$2:$A$801,A595,$G$2:$G$801,E595)&gt;1,"Team 1 listed twice this week",IF(COUNTIFS($A$2:$A$801,A595,$E$2:$E$801,G595)+COUNTIFS($A$2:$A$801,A595,$G$2:$G$801,G595)&gt;1,"Team 2 listed twice this week",""))))))))</f>
        <v/>
      </c>
    </row>
    <row r="596">
      <c r="A596" s="11" t="n"/>
      <c r="B596" s="9">
        <f>IF(A596="","",IFERROR(INDEX(Lists!$G$2:$G$7,MATCH(A596,Lists!$F$2:$F$7,0)),"?"))</f>
        <v/>
      </c>
      <c r="C596" s="4" t="n"/>
      <c r="D596" s="4" t="n"/>
      <c r="E596" s="4" t="n"/>
      <c r="F596" s="11" t="n"/>
      <c r="G596" s="4" t="n"/>
      <c r="H596" s="11" t="n"/>
      <c r="I596" s="11" t="n"/>
      <c r="J596" s="9">
        <f>IF(OR(F596="",H596=""),"",IF(F596&gt;H596,E596,IF(H596&gt;F596,G596,"")))</f>
        <v/>
      </c>
      <c r="K596" s="4" t="n"/>
      <c r="L596" s="9">
        <f>IF(COUNTA(A596,C596,D596,E596,F596,G596,H596,I596)=0,"",IF(OR(A596="",C596="",E596="",G596=""),"Missing week/class/team",IF(AND(D596="",I596&lt;&gt;"Y"),"No chapter (forfeit?)",IF(AND(D596&lt;&gt;"",I596="Y"),"Forfeit has a chapter",IF(OR(F596="",H596=""),"Missing score",IF(F596=H596,"Tie score",IF(COUNTIFS($A$2:$A$801,A596,$E$2:$E$801,E596)+COUNTIFS($A$2:$A$801,A596,$G$2:$G$801,E596)&gt;1,"Team 1 listed twice this week",IF(COUNTIFS($A$2:$A$801,A596,$E$2:$E$801,G596)+COUNTIFS($A$2:$A$801,A596,$G$2:$G$801,G596)&gt;1,"Team 2 listed twice this week",""))))))))</f>
        <v/>
      </c>
    </row>
    <row r="597">
      <c r="A597" s="11" t="n"/>
      <c r="B597" s="9">
        <f>IF(A597="","",IFERROR(INDEX(Lists!$G$2:$G$7,MATCH(A597,Lists!$F$2:$F$7,0)),"?"))</f>
        <v/>
      </c>
      <c r="C597" s="4" t="n"/>
      <c r="D597" s="4" t="n"/>
      <c r="E597" s="4" t="n"/>
      <c r="F597" s="11" t="n"/>
      <c r="G597" s="4" t="n"/>
      <c r="H597" s="11" t="n"/>
      <c r="I597" s="11" t="n"/>
      <c r="J597" s="9">
        <f>IF(OR(F597="",H597=""),"",IF(F597&gt;H597,E597,IF(H597&gt;F597,G597,"")))</f>
        <v/>
      </c>
      <c r="K597" s="4" t="n"/>
      <c r="L597" s="9">
        <f>IF(COUNTA(A597,C597,D597,E597,F597,G597,H597,I597)=0,"",IF(OR(A597="",C597="",E597="",G597=""),"Missing week/class/team",IF(AND(D597="",I597&lt;&gt;"Y"),"No chapter (forfeit?)",IF(AND(D597&lt;&gt;"",I597="Y"),"Forfeit has a chapter",IF(OR(F597="",H597=""),"Missing score",IF(F597=H597,"Tie score",IF(COUNTIFS($A$2:$A$801,A597,$E$2:$E$801,E597)+COUNTIFS($A$2:$A$801,A597,$G$2:$G$801,E597)&gt;1,"Team 1 listed twice this week",IF(COUNTIFS($A$2:$A$801,A597,$E$2:$E$801,G597)+COUNTIFS($A$2:$A$801,A597,$G$2:$G$801,G597)&gt;1,"Team 2 listed twice this week",""))))))))</f>
        <v/>
      </c>
    </row>
    <row r="598">
      <c r="A598" s="11" t="n"/>
      <c r="B598" s="9">
        <f>IF(A598="","",IFERROR(INDEX(Lists!$G$2:$G$7,MATCH(A598,Lists!$F$2:$F$7,0)),"?"))</f>
        <v/>
      </c>
      <c r="C598" s="4" t="n"/>
      <c r="D598" s="4" t="n"/>
      <c r="E598" s="4" t="n"/>
      <c r="F598" s="11" t="n"/>
      <c r="G598" s="4" t="n"/>
      <c r="H598" s="11" t="n"/>
      <c r="I598" s="11" t="n"/>
      <c r="J598" s="9">
        <f>IF(OR(F598="",H598=""),"",IF(F598&gt;H598,E598,IF(H598&gt;F598,G598,"")))</f>
        <v/>
      </c>
      <c r="K598" s="4" t="n"/>
      <c r="L598" s="9">
        <f>IF(COUNTA(A598,C598,D598,E598,F598,G598,H598,I598)=0,"",IF(OR(A598="",C598="",E598="",G598=""),"Missing week/class/team",IF(AND(D598="",I598&lt;&gt;"Y"),"No chapter (forfeit?)",IF(AND(D598&lt;&gt;"",I598="Y"),"Forfeit has a chapter",IF(OR(F598="",H598=""),"Missing score",IF(F598=H598,"Tie score",IF(COUNTIFS($A$2:$A$801,A598,$E$2:$E$801,E598)+COUNTIFS($A$2:$A$801,A598,$G$2:$G$801,E598)&gt;1,"Team 1 listed twice this week",IF(COUNTIFS($A$2:$A$801,A598,$E$2:$E$801,G598)+COUNTIFS($A$2:$A$801,A598,$G$2:$G$801,G598)&gt;1,"Team 2 listed twice this week",""))))))))</f>
        <v/>
      </c>
    </row>
    <row r="599">
      <c r="A599" s="11" t="n"/>
      <c r="B599" s="9">
        <f>IF(A599="","",IFERROR(INDEX(Lists!$G$2:$G$7,MATCH(A599,Lists!$F$2:$F$7,0)),"?"))</f>
        <v/>
      </c>
      <c r="C599" s="4" t="n"/>
      <c r="D599" s="4" t="n"/>
      <c r="E599" s="4" t="n"/>
      <c r="F599" s="11" t="n"/>
      <c r="G599" s="4" t="n"/>
      <c r="H599" s="11" t="n"/>
      <c r="I599" s="11" t="n"/>
      <c r="J599" s="9">
        <f>IF(OR(F599="",H599=""),"",IF(F599&gt;H599,E599,IF(H599&gt;F599,G599,"")))</f>
        <v/>
      </c>
      <c r="K599" s="4" t="n"/>
      <c r="L599" s="9">
        <f>IF(COUNTA(A599,C599,D599,E599,F599,G599,H599,I599)=0,"",IF(OR(A599="",C599="",E599="",G599=""),"Missing week/class/team",IF(AND(D599="",I599&lt;&gt;"Y"),"No chapter (forfeit?)",IF(AND(D599&lt;&gt;"",I599="Y"),"Forfeit has a chapter",IF(OR(F599="",H599=""),"Missing score",IF(F599=H599,"Tie score",IF(COUNTIFS($A$2:$A$801,A599,$E$2:$E$801,E599)+COUNTIFS($A$2:$A$801,A599,$G$2:$G$801,E599)&gt;1,"Team 1 listed twice this week",IF(COUNTIFS($A$2:$A$801,A599,$E$2:$E$801,G599)+COUNTIFS($A$2:$A$801,A599,$G$2:$G$801,G599)&gt;1,"Team 2 listed twice this week",""))))))))</f>
        <v/>
      </c>
    </row>
    <row r="600">
      <c r="A600" s="11" t="n"/>
      <c r="B600" s="9">
        <f>IF(A600="","",IFERROR(INDEX(Lists!$G$2:$G$7,MATCH(A600,Lists!$F$2:$F$7,0)),"?"))</f>
        <v/>
      </c>
      <c r="C600" s="4" t="n"/>
      <c r="D600" s="4" t="n"/>
      <c r="E600" s="4" t="n"/>
      <c r="F600" s="11" t="n"/>
      <c r="G600" s="4" t="n"/>
      <c r="H600" s="11" t="n"/>
      <c r="I600" s="11" t="n"/>
      <c r="J600" s="9">
        <f>IF(OR(F600="",H600=""),"",IF(F600&gt;H600,E600,IF(H600&gt;F600,G600,"")))</f>
        <v/>
      </c>
      <c r="K600" s="4" t="n"/>
      <c r="L600" s="9">
        <f>IF(COUNTA(A600,C600,D600,E600,F600,G600,H600,I600)=0,"",IF(OR(A600="",C600="",E600="",G600=""),"Missing week/class/team",IF(AND(D600="",I600&lt;&gt;"Y"),"No chapter (forfeit?)",IF(AND(D600&lt;&gt;"",I600="Y"),"Forfeit has a chapter",IF(OR(F600="",H600=""),"Missing score",IF(F600=H600,"Tie score",IF(COUNTIFS($A$2:$A$801,A600,$E$2:$E$801,E600)+COUNTIFS($A$2:$A$801,A600,$G$2:$G$801,E600)&gt;1,"Team 1 listed twice this week",IF(COUNTIFS($A$2:$A$801,A600,$E$2:$E$801,G600)+COUNTIFS($A$2:$A$801,A600,$G$2:$G$801,G600)&gt;1,"Team 2 listed twice this week",""))))))))</f>
        <v/>
      </c>
    </row>
    <row r="601">
      <c r="A601" s="11" t="n"/>
      <c r="B601" s="9">
        <f>IF(A601="","",IFERROR(INDEX(Lists!$G$2:$G$7,MATCH(A601,Lists!$F$2:$F$7,0)),"?"))</f>
        <v/>
      </c>
      <c r="C601" s="4" t="n"/>
      <c r="D601" s="4" t="n"/>
      <c r="E601" s="4" t="n"/>
      <c r="F601" s="11" t="n"/>
      <c r="G601" s="4" t="n"/>
      <c r="H601" s="11" t="n"/>
      <c r="I601" s="11" t="n"/>
      <c r="J601" s="9">
        <f>IF(OR(F601="",H601=""),"",IF(F601&gt;H601,E601,IF(H601&gt;F601,G601,"")))</f>
        <v/>
      </c>
      <c r="K601" s="4" t="n"/>
      <c r="L601" s="9">
        <f>IF(COUNTA(A601,C601,D601,E601,F601,G601,H601,I601)=0,"",IF(OR(A601="",C601="",E601="",G601=""),"Missing week/class/team",IF(AND(D601="",I601&lt;&gt;"Y"),"No chapter (forfeit?)",IF(AND(D601&lt;&gt;"",I601="Y"),"Forfeit has a chapter",IF(OR(F601="",H601=""),"Missing score",IF(F601=H601,"Tie score",IF(COUNTIFS($A$2:$A$801,A601,$E$2:$E$801,E601)+COUNTIFS($A$2:$A$801,A601,$G$2:$G$801,E601)&gt;1,"Team 1 listed twice this week",IF(COUNTIFS($A$2:$A$801,A601,$E$2:$E$801,G601)+COUNTIFS($A$2:$A$801,A601,$G$2:$G$801,G601)&gt;1,"Team 2 listed twice this week",""))))))))</f>
        <v/>
      </c>
    </row>
    <row r="602">
      <c r="A602" s="11" t="n"/>
      <c r="B602" s="9">
        <f>IF(A602="","",IFERROR(INDEX(Lists!$G$2:$G$7,MATCH(A602,Lists!$F$2:$F$7,0)),"?"))</f>
        <v/>
      </c>
      <c r="C602" s="4" t="n"/>
      <c r="D602" s="4" t="n"/>
      <c r="E602" s="4" t="n"/>
      <c r="F602" s="11" t="n"/>
      <c r="G602" s="4" t="n"/>
      <c r="H602" s="11" t="n"/>
      <c r="I602" s="11" t="n"/>
      <c r="J602" s="9">
        <f>IF(OR(F602="",H602=""),"",IF(F602&gt;H602,E602,IF(H602&gt;F602,G602,"")))</f>
        <v/>
      </c>
      <c r="K602" s="4" t="n"/>
      <c r="L602" s="9">
        <f>IF(COUNTA(A602,C602,D602,E602,F602,G602,H602,I602)=0,"",IF(OR(A602="",C602="",E602="",G602=""),"Missing week/class/team",IF(AND(D602="",I602&lt;&gt;"Y"),"No chapter (forfeit?)",IF(AND(D602&lt;&gt;"",I602="Y"),"Forfeit has a chapter",IF(OR(F602="",H602=""),"Missing score",IF(F602=H602,"Tie score",IF(COUNTIFS($A$2:$A$801,A602,$E$2:$E$801,E602)+COUNTIFS($A$2:$A$801,A602,$G$2:$G$801,E602)&gt;1,"Team 1 listed twice this week",IF(COUNTIFS($A$2:$A$801,A602,$E$2:$E$801,G602)+COUNTIFS($A$2:$A$801,A602,$G$2:$G$801,G602)&gt;1,"Team 2 listed twice this week",""))))))))</f>
        <v/>
      </c>
    </row>
    <row r="603">
      <c r="A603" s="11" t="n"/>
      <c r="B603" s="9">
        <f>IF(A603="","",IFERROR(INDEX(Lists!$G$2:$G$7,MATCH(A603,Lists!$F$2:$F$7,0)),"?"))</f>
        <v/>
      </c>
      <c r="C603" s="4" t="n"/>
      <c r="D603" s="4" t="n"/>
      <c r="E603" s="4" t="n"/>
      <c r="F603" s="11" t="n"/>
      <c r="G603" s="4" t="n"/>
      <c r="H603" s="11" t="n"/>
      <c r="I603" s="11" t="n"/>
      <c r="J603" s="9">
        <f>IF(OR(F603="",H603=""),"",IF(F603&gt;H603,E603,IF(H603&gt;F603,G603,"")))</f>
        <v/>
      </c>
      <c r="K603" s="4" t="n"/>
      <c r="L603" s="9">
        <f>IF(COUNTA(A603,C603,D603,E603,F603,G603,H603,I603)=0,"",IF(OR(A603="",C603="",E603="",G603=""),"Missing week/class/team",IF(AND(D603="",I603&lt;&gt;"Y"),"No chapter (forfeit?)",IF(AND(D603&lt;&gt;"",I603="Y"),"Forfeit has a chapter",IF(OR(F603="",H603=""),"Missing score",IF(F603=H603,"Tie score",IF(COUNTIFS($A$2:$A$801,A603,$E$2:$E$801,E603)+COUNTIFS($A$2:$A$801,A603,$G$2:$G$801,E603)&gt;1,"Team 1 listed twice this week",IF(COUNTIFS($A$2:$A$801,A603,$E$2:$E$801,G603)+COUNTIFS($A$2:$A$801,A603,$G$2:$G$801,G603)&gt;1,"Team 2 listed twice this week",""))))))))</f>
        <v/>
      </c>
    </row>
    <row r="604">
      <c r="A604" s="11" t="n"/>
      <c r="B604" s="9">
        <f>IF(A604="","",IFERROR(INDEX(Lists!$G$2:$G$7,MATCH(A604,Lists!$F$2:$F$7,0)),"?"))</f>
        <v/>
      </c>
      <c r="C604" s="4" t="n"/>
      <c r="D604" s="4" t="n"/>
      <c r="E604" s="4" t="n"/>
      <c r="F604" s="11" t="n"/>
      <c r="G604" s="4" t="n"/>
      <c r="H604" s="11" t="n"/>
      <c r="I604" s="11" t="n"/>
      <c r="J604" s="9">
        <f>IF(OR(F604="",H604=""),"",IF(F604&gt;H604,E604,IF(H604&gt;F604,G604,"")))</f>
        <v/>
      </c>
      <c r="K604" s="4" t="n"/>
      <c r="L604" s="9">
        <f>IF(COUNTA(A604,C604,D604,E604,F604,G604,H604,I604)=0,"",IF(OR(A604="",C604="",E604="",G604=""),"Missing week/class/team",IF(AND(D604="",I604&lt;&gt;"Y"),"No chapter (forfeit?)",IF(AND(D604&lt;&gt;"",I604="Y"),"Forfeit has a chapter",IF(OR(F604="",H604=""),"Missing score",IF(F604=H604,"Tie score",IF(COUNTIFS($A$2:$A$801,A604,$E$2:$E$801,E604)+COUNTIFS($A$2:$A$801,A604,$G$2:$G$801,E604)&gt;1,"Team 1 listed twice this week",IF(COUNTIFS($A$2:$A$801,A604,$E$2:$E$801,G604)+COUNTIFS($A$2:$A$801,A604,$G$2:$G$801,G604)&gt;1,"Team 2 listed twice this week",""))))))))</f>
        <v/>
      </c>
    </row>
    <row r="605">
      <c r="A605" s="11" t="n"/>
      <c r="B605" s="9">
        <f>IF(A605="","",IFERROR(INDEX(Lists!$G$2:$G$7,MATCH(A605,Lists!$F$2:$F$7,0)),"?"))</f>
        <v/>
      </c>
      <c r="C605" s="4" t="n"/>
      <c r="D605" s="4" t="n"/>
      <c r="E605" s="4" t="n"/>
      <c r="F605" s="11" t="n"/>
      <c r="G605" s="4" t="n"/>
      <c r="H605" s="11" t="n"/>
      <c r="I605" s="11" t="n"/>
      <c r="J605" s="9">
        <f>IF(OR(F605="",H605=""),"",IF(F605&gt;H605,E605,IF(H605&gt;F605,G605,"")))</f>
        <v/>
      </c>
      <c r="K605" s="4" t="n"/>
      <c r="L605" s="9">
        <f>IF(COUNTA(A605,C605,D605,E605,F605,G605,H605,I605)=0,"",IF(OR(A605="",C605="",E605="",G605=""),"Missing week/class/team",IF(AND(D605="",I605&lt;&gt;"Y"),"No chapter (forfeit?)",IF(AND(D605&lt;&gt;"",I605="Y"),"Forfeit has a chapter",IF(OR(F605="",H605=""),"Missing score",IF(F605=H605,"Tie score",IF(COUNTIFS($A$2:$A$801,A605,$E$2:$E$801,E605)+COUNTIFS($A$2:$A$801,A605,$G$2:$G$801,E605)&gt;1,"Team 1 listed twice this week",IF(COUNTIFS($A$2:$A$801,A605,$E$2:$E$801,G605)+COUNTIFS($A$2:$A$801,A605,$G$2:$G$801,G605)&gt;1,"Team 2 listed twice this week",""))))))))</f>
        <v/>
      </c>
    </row>
    <row r="606">
      <c r="A606" s="11" t="n"/>
      <c r="B606" s="9">
        <f>IF(A606="","",IFERROR(INDEX(Lists!$G$2:$G$7,MATCH(A606,Lists!$F$2:$F$7,0)),"?"))</f>
        <v/>
      </c>
      <c r="C606" s="4" t="n"/>
      <c r="D606" s="4" t="n"/>
      <c r="E606" s="4" t="n"/>
      <c r="F606" s="11" t="n"/>
      <c r="G606" s="4" t="n"/>
      <c r="H606" s="11" t="n"/>
      <c r="I606" s="11" t="n"/>
      <c r="J606" s="9">
        <f>IF(OR(F606="",H606=""),"",IF(F606&gt;H606,E606,IF(H606&gt;F606,G606,"")))</f>
        <v/>
      </c>
      <c r="K606" s="4" t="n"/>
      <c r="L606" s="9">
        <f>IF(COUNTA(A606,C606,D606,E606,F606,G606,H606,I606)=0,"",IF(OR(A606="",C606="",E606="",G606=""),"Missing week/class/team",IF(AND(D606="",I606&lt;&gt;"Y"),"No chapter (forfeit?)",IF(AND(D606&lt;&gt;"",I606="Y"),"Forfeit has a chapter",IF(OR(F606="",H606=""),"Missing score",IF(F606=H606,"Tie score",IF(COUNTIFS($A$2:$A$801,A606,$E$2:$E$801,E606)+COUNTIFS($A$2:$A$801,A606,$G$2:$G$801,E606)&gt;1,"Team 1 listed twice this week",IF(COUNTIFS($A$2:$A$801,A606,$E$2:$E$801,G606)+COUNTIFS($A$2:$A$801,A606,$G$2:$G$801,G606)&gt;1,"Team 2 listed twice this week",""))))))))</f>
        <v/>
      </c>
    </row>
    <row r="607">
      <c r="A607" s="11" t="n"/>
      <c r="B607" s="9">
        <f>IF(A607="","",IFERROR(INDEX(Lists!$G$2:$G$7,MATCH(A607,Lists!$F$2:$F$7,0)),"?"))</f>
        <v/>
      </c>
      <c r="C607" s="4" t="n"/>
      <c r="D607" s="4" t="n"/>
      <c r="E607" s="4" t="n"/>
      <c r="F607" s="11" t="n"/>
      <c r="G607" s="4" t="n"/>
      <c r="H607" s="11" t="n"/>
      <c r="I607" s="11" t="n"/>
      <c r="J607" s="9">
        <f>IF(OR(F607="",H607=""),"",IF(F607&gt;H607,E607,IF(H607&gt;F607,G607,"")))</f>
        <v/>
      </c>
      <c r="K607" s="4" t="n"/>
      <c r="L607" s="9">
        <f>IF(COUNTA(A607,C607,D607,E607,F607,G607,H607,I607)=0,"",IF(OR(A607="",C607="",E607="",G607=""),"Missing week/class/team",IF(AND(D607="",I607&lt;&gt;"Y"),"No chapter (forfeit?)",IF(AND(D607&lt;&gt;"",I607="Y"),"Forfeit has a chapter",IF(OR(F607="",H607=""),"Missing score",IF(F607=H607,"Tie score",IF(COUNTIFS($A$2:$A$801,A607,$E$2:$E$801,E607)+COUNTIFS($A$2:$A$801,A607,$G$2:$G$801,E607)&gt;1,"Team 1 listed twice this week",IF(COUNTIFS($A$2:$A$801,A607,$E$2:$E$801,G607)+COUNTIFS($A$2:$A$801,A607,$G$2:$G$801,G607)&gt;1,"Team 2 listed twice this week",""))))))))</f>
        <v/>
      </c>
    </row>
    <row r="608">
      <c r="A608" s="11" t="n"/>
      <c r="B608" s="9">
        <f>IF(A608="","",IFERROR(INDEX(Lists!$G$2:$G$7,MATCH(A608,Lists!$F$2:$F$7,0)),"?"))</f>
        <v/>
      </c>
      <c r="C608" s="4" t="n"/>
      <c r="D608" s="4" t="n"/>
      <c r="E608" s="4" t="n"/>
      <c r="F608" s="11" t="n"/>
      <c r="G608" s="4" t="n"/>
      <c r="H608" s="11" t="n"/>
      <c r="I608" s="11" t="n"/>
      <c r="J608" s="9">
        <f>IF(OR(F608="",H608=""),"",IF(F608&gt;H608,E608,IF(H608&gt;F608,G608,"")))</f>
        <v/>
      </c>
      <c r="K608" s="4" t="n"/>
      <c r="L608" s="9">
        <f>IF(COUNTA(A608,C608,D608,E608,F608,G608,H608,I608)=0,"",IF(OR(A608="",C608="",E608="",G608=""),"Missing week/class/team",IF(AND(D608="",I608&lt;&gt;"Y"),"No chapter (forfeit?)",IF(AND(D608&lt;&gt;"",I608="Y"),"Forfeit has a chapter",IF(OR(F608="",H608=""),"Missing score",IF(F608=H608,"Tie score",IF(COUNTIFS($A$2:$A$801,A608,$E$2:$E$801,E608)+COUNTIFS($A$2:$A$801,A608,$G$2:$G$801,E608)&gt;1,"Team 1 listed twice this week",IF(COUNTIFS($A$2:$A$801,A608,$E$2:$E$801,G608)+COUNTIFS($A$2:$A$801,A608,$G$2:$G$801,G608)&gt;1,"Team 2 listed twice this week",""))))))))</f>
        <v/>
      </c>
    </row>
    <row r="609">
      <c r="A609" s="11" t="n"/>
      <c r="B609" s="9">
        <f>IF(A609="","",IFERROR(INDEX(Lists!$G$2:$G$7,MATCH(A609,Lists!$F$2:$F$7,0)),"?"))</f>
        <v/>
      </c>
      <c r="C609" s="4" t="n"/>
      <c r="D609" s="4" t="n"/>
      <c r="E609" s="4" t="n"/>
      <c r="F609" s="11" t="n"/>
      <c r="G609" s="4" t="n"/>
      <c r="H609" s="11" t="n"/>
      <c r="I609" s="11" t="n"/>
      <c r="J609" s="9">
        <f>IF(OR(F609="",H609=""),"",IF(F609&gt;H609,E609,IF(H609&gt;F609,G609,"")))</f>
        <v/>
      </c>
      <c r="K609" s="4" t="n"/>
      <c r="L609" s="9">
        <f>IF(COUNTA(A609,C609,D609,E609,F609,G609,H609,I609)=0,"",IF(OR(A609="",C609="",E609="",G609=""),"Missing week/class/team",IF(AND(D609="",I609&lt;&gt;"Y"),"No chapter (forfeit?)",IF(AND(D609&lt;&gt;"",I609="Y"),"Forfeit has a chapter",IF(OR(F609="",H609=""),"Missing score",IF(F609=H609,"Tie score",IF(COUNTIFS($A$2:$A$801,A609,$E$2:$E$801,E609)+COUNTIFS($A$2:$A$801,A609,$G$2:$G$801,E609)&gt;1,"Team 1 listed twice this week",IF(COUNTIFS($A$2:$A$801,A609,$E$2:$E$801,G609)+COUNTIFS($A$2:$A$801,A609,$G$2:$G$801,G609)&gt;1,"Team 2 listed twice this week",""))))))))</f>
        <v/>
      </c>
    </row>
    <row r="610">
      <c r="A610" s="11" t="n"/>
      <c r="B610" s="9">
        <f>IF(A610="","",IFERROR(INDEX(Lists!$G$2:$G$7,MATCH(A610,Lists!$F$2:$F$7,0)),"?"))</f>
        <v/>
      </c>
      <c r="C610" s="4" t="n"/>
      <c r="D610" s="4" t="n"/>
      <c r="E610" s="4" t="n"/>
      <c r="F610" s="11" t="n"/>
      <c r="G610" s="4" t="n"/>
      <c r="H610" s="11" t="n"/>
      <c r="I610" s="11" t="n"/>
      <c r="J610" s="9">
        <f>IF(OR(F610="",H610=""),"",IF(F610&gt;H610,E610,IF(H610&gt;F610,G610,"")))</f>
        <v/>
      </c>
      <c r="K610" s="4" t="n"/>
      <c r="L610" s="9">
        <f>IF(COUNTA(A610,C610,D610,E610,F610,G610,H610,I610)=0,"",IF(OR(A610="",C610="",E610="",G610=""),"Missing week/class/team",IF(AND(D610="",I610&lt;&gt;"Y"),"No chapter (forfeit?)",IF(AND(D610&lt;&gt;"",I610="Y"),"Forfeit has a chapter",IF(OR(F610="",H610=""),"Missing score",IF(F610=H610,"Tie score",IF(COUNTIFS($A$2:$A$801,A610,$E$2:$E$801,E610)+COUNTIFS($A$2:$A$801,A610,$G$2:$G$801,E610)&gt;1,"Team 1 listed twice this week",IF(COUNTIFS($A$2:$A$801,A610,$E$2:$E$801,G610)+COUNTIFS($A$2:$A$801,A610,$G$2:$G$801,G610)&gt;1,"Team 2 listed twice this week",""))))))))</f>
        <v/>
      </c>
    </row>
    <row r="611">
      <c r="A611" s="11" t="n"/>
      <c r="B611" s="9">
        <f>IF(A611="","",IFERROR(INDEX(Lists!$G$2:$G$7,MATCH(A611,Lists!$F$2:$F$7,0)),"?"))</f>
        <v/>
      </c>
      <c r="C611" s="4" t="n"/>
      <c r="D611" s="4" t="n"/>
      <c r="E611" s="4" t="n"/>
      <c r="F611" s="11" t="n"/>
      <c r="G611" s="4" t="n"/>
      <c r="H611" s="11" t="n"/>
      <c r="I611" s="11" t="n"/>
      <c r="J611" s="9">
        <f>IF(OR(F611="",H611=""),"",IF(F611&gt;H611,E611,IF(H611&gt;F611,G611,"")))</f>
        <v/>
      </c>
      <c r="K611" s="4" t="n"/>
      <c r="L611" s="9">
        <f>IF(COUNTA(A611,C611,D611,E611,F611,G611,H611,I611)=0,"",IF(OR(A611="",C611="",E611="",G611=""),"Missing week/class/team",IF(AND(D611="",I611&lt;&gt;"Y"),"No chapter (forfeit?)",IF(AND(D611&lt;&gt;"",I611="Y"),"Forfeit has a chapter",IF(OR(F611="",H611=""),"Missing score",IF(F611=H611,"Tie score",IF(COUNTIFS($A$2:$A$801,A611,$E$2:$E$801,E611)+COUNTIFS($A$2:$A$801,A611,$G$2:$G$801,E611)&gt;1,"Team 1 listed twice this week",IF(COUNTIFS($A$2:$A$801,A611,$E$2:$E$801,G611)+COUNTIFS($A$2:$A$801,A611,$G$2:$G$801,G611)&gt;1,"Team 2 listed twice this week",""))))))))</f>
        <v/>
      </c>
    </row>
    <row r="612">
      <c r="A612" s="11" t="n"/>
      <c r="B612" s="9">
        <f>IF(A612="","",IFERROR(INDEX(Lists!$G$2:$G$7,MATCH(A612,Lists!$F$2:$F$7,0)),"?"))</f>
        <v/>
      </c>
      <c r="C612" s="4" t="n"/>
      <c r="D612" s="4" t="n"/>
      <c r="E612" s="4" t="n"/>
      <c r="F612" s="11" t="n"/>
      <c r="G612" s="4" t="n"/>
      <c r="H612" s="11" t="n"/>
      <c r="I612" s="11" t="n"/>
      <c r="J612" s="9">
        <f>IF(OR(F612="",H612=""),"",IF(F612&gt;H612,E612,IF(H612&gt;F612,G612,"")))</f>
        <v/>
      </c>
      <c r="K612" s="4" t="n"/>
      <c r="L612" s="9">
        <f>IF(COUNTA(A612,C612,D612,E612,F612,G612,H612,I612)=0,"",IF(OR(A612="",C612="",E612="",G612=""),"Missing week/class/team",IF(AND(D612="",I612&lt;&gt;"Y"),"No chapter (forfeit?)",IF(AND(D612&lt;&gt;"",I612="Y"),"Forfeit has a chapter",IF(OR(F612="",H612=""),"Missing score",IF(F612=H612,"Tie score",IF(COUNTIFS($A$2:$A$801,A612,$E$2:$E$801,E612)+COUNTIFS($A$2:$A$801,A612,$G$2:$G$801,E612)&gt;1,"Team 1 listed twice this week",IF(COUNTIFS($A$2:$A$801,A612,$E$2:$E$801,G612)+COUNTIFS($A$2:$A$801,A612,$G$2:$G$801,G612)&gt;1,"Team 2 listed twice this week",""))))))))</f>
        <v/>
      </c>
    </row>
    <row r="613">
      <c r="A613" s="11" t="n"/>
      <c r="B613" s="9">
        <f>IF(A613="","",IFERROR(INDEX(Lists!$G$2:$G$7,MATCH(A613,Lists!$F$2:$F$7,0)),"?"))</f>
        <v/>
      </c>
      <c r="C613" s="4" t="n"/>
      <c r="D613" s="4" t="n"/>
      <c r="E613" s="4" t="n"/>
      <c r="F613" s="11" t="n"/>
      <c r="G613" s="4" t="n"/>
      <c r="H613" s="11" t="n"/>
      <c r="I613" s="11" t="n"/>
      <c r="J613" s="9">
        <f>IF(OR(F613="",H613=""),"",IF(F613&gt;H613,E613,IF(H613&gt;F613,G613,"")))</f>
        <v/>
      </c>
      <c r="K613" s="4" t="n"/>
      <c r="L613" s="9">
        <f>IF(COUNTA(A613,C613,D613,E613,F613,G613,H613,I613)=0,"",IF(OR(A613="",C613="",E613="",G613=""),"Missing week/class/team",IF(AND(D613="",I613&lt;&gt;"Y"),"No chapter (forfeit?)",IF(AND(D613&lt;&gt;"",I613="Y"),"Forfeit has a chapter",IF(OR(F613="",H613=""),"Missing score",IF(F613=H613,"Tie score",IF(COUNTIFS($A$2:$A$801,A613,$E$2:$E$801,E613)+COUNTIFS($A$2:$A$801,A613,$G$2:$G$801,E613)&gt;1,"Team 1 listed twice this week",IF(COUNTIFS($A$2:$A$801,A613,$E$2:$E$801,G613)+COUNTIFS($A$2:$A$801,A613,$G$2:$G$801,G613)&gt;1,"Team 2 listed twice this week",""))))))))</f>
        <v/>
      </c>
    </row>
    <row r="614">
      <c r="A614" s="11" t="n"/>
      <c r="B614" s="9">
        <f>IF(A614="","",IFERROR(INDEX(Lists!$G$2:$G$7,MATCH(A614,Lists!$F$2:$F$7,0)),"?"))</f>
        <v/>
      </c>
      <c r="C614" s="4" t="n"/>
      <c r="D614" s="4" t="n"/>
      <c r="E614" s="4" t="n"/>
      <c r="F614" s="11" t="n"/>
      <c r="G614" s="4" t="n"/>
      <c r="H614" s="11" t="n"/>
      <c r="I614" s="11" t="n"/>
      <c r="J614" s="9">
        <f>IF(OR(F614="",H614=""),"",IF(F614&gt;H614,E614,IF(H614&gt;F614,G614,"")))</f>
        <v/>
      </c>
      <c r="K614" s="4" t="n"/>
      <c r="L614" s="9">
        <f>IF(COUNTA(A614,C614,D614,E614,F614,G614,H614,I614)=0,"",IF(OR(A614="",C614="",E614="",G614=""),"Missing week/class/team",IF(AND(D614="",I614&lt;&gt;"Y"),"No chapter (forfeit?)",IF(AND(D614&lt;&gt;"",I614="Y"),"Forfeit has a chapter",IF(OR(F614="",H614=""),"Missing score",IF(F614=H614,"Tie score",IF(COUNTIFS($A$2:$A$801,A614,$E$2:$E$801,E614)+COUNTIFS($A$2:$A$801,A614,$G$2:$G$801,E614)&gt;1,"Team 1 listed twice this week",IF(COUNTIFS($A$2:$A$801,A614,$E$2:$E$801,G614)+COUNTIFS($A$2:$A$801,A614,$G$2:$G$801,G614)&gt;1,"Team 2 listed twice this week",""))))))))</f>
        <v/>
      </c>
    </row>
    <row r="615">
      <c r="A615" s="11" t="n"/>
      <c r="B615" s="9">
        <f>IF(A615="","",IFERROR(INDEX(Lists!$G$2:$G$7,MATCH(A615,Lists!$F$2:$F$7,0)),"?"))</f>
        <v/>
      </c>
      <c r="C615" s="4" t="n"/>
      <c r="D615" s="4" t="n"/>
      <c r="E615" s="4" t="n"/>
      <c r="F615" s="11" t="n"/>
      <c r="G615" s="4" t="n"/>
      <c r="H615" s="11" t="n"/>
      <c r="I615" s="11" t="n"/>
      <c r="J615" s="9">
        <f>IF(OR(F615="",H615=""),"",IF(F615&gt;H615,E615,IF(H615&gt;F615,G615,"")))</f>
        <v/>
      </c>
      <c r="K615" s="4" t="n"/>
      <c r="L615" s="9">
        <f>IF(COUNTA(A615,C615,D615,E615,F615,G615,H615,I615)=0,"",IF(OR(A615="",C615="",E615="",G615=""),"Missing week/class/team",IF(AND(D615="",I615&lt;&gt;"Y"),"No chapter (forfeit?)",IF(AND(D615&lt;&gt;"",I615="Y"),"Forfeit has a chapter",IF(OR(F615="",H615=""),"Missing score",IF(F615=H615,"Tie score",IF(COUNTIFS($A$2:$A$801,A615,$E$2:$E$801,E615)+COUNTIFS($A$2:$A$801,A615,$G$2:$G$801,E615)&gt;1,"Team 1 listed twice this week",IF(COUNTIFS($A$2:$A$801,A615,$E$2:$E$801,G615)+COUNTIFS($A$2:$A$801,A615,$G$2:$G$801,G615)&gt;1,"Team 2 listed twice this week",""))))))))</f>
        <v/>
      </c>
    </row>
    <row r="616">
      <c r="A616" s="11" t="n"/>
      <c r="B616" s="9">
        <f>IF(A616="","",IFERROR(INDEX(Lists!$G$2:$G$7,MATCH(A616,Lists!$F$2:$F$7,0)),"?"))</f>
        <v/>
      </c>
      <c r="C616" s="4" t="n"/>
      <c r="D616" s="4" t="n"/>
      <c r="E616" s="4" t="n"/>
      <c r="F616" s="11" t="n"/>
      <c r="G616" s="4" t="n"/>
      <c r="H616" s="11" t="n"/>
      <c r="I616" s="11" t="n"/>
      <c r="J616" s="9">
        <f>IF(OR(F616="",H616=""),"",IF(F616&gt;H616,E616,IF(H616&gt;F616,G616,"")))</f>
        <v/>
      </c>
      <c r="K616" s="4" t="n"/>
      <c r="L616" s="9">
        <f>IF(COUNTA(A616,C616,D616,E616,F616,G616,H616,I616)=0,"",IF(OR(A616="",C616="",E616="",G616=""),"Missing week/class/team",IF(AND(D616="",I616&lt;&gt;"Y"),"No chapter (forfeit?)",IF(AND(D616&lt;&gt;"",I616="Y"),"Forfeit has a chapter",IF(OR(F616="",H616=""),"Missing score",IF(F616=H616,"Tie score",IF(COUNTIFS($A$2:$A$801,A616,$E$2:$E$801,E616)+COUNTIFS($A$2:$A$801,A616,$G$2:$G$801,E616)&gt;1,"Team 1 listed twice this week",IF(COUNTIFS($A$2:$A$801,A616,$E$2:$E$801,G616)+COUNTIFS($A$2:$A$801,A616,$G$2:$G$801,G616)&gt;1,"Team 2 listed twice this week",""))))))))</f>
        <v/>
      </c>
    </row>
    <row r="617">
      <c r="A617" s="11" t="n"/>
      <c r="B617" s="9">
        <f>IF(A617="","",IFERROR(INDEX(Lists!$G$2:$G$7,MATCH(A617,Lists!$F$2:$F$7,0)),"?"))</f>
        <v/>
      </c>
      <c r="C617" s="4" t="n"/>
      <c r="D617" s="4" t="n"/>
      <c r="E617" s="4" t="n"/>
      <c r="F617" s="11" t="n"/>
      <c r="G617" s="4" t="n"/>
      <c r="H617" s="11" t="n"/>
      <c r="I617" s="11" t="n"/>
      <c r="J617" s="9">
        <f>IF(OR(F617="",H617=""),"",IF(F617&gt;H617,E617,IF(H617&gt;F617,G617,"")))</f>
        <v/>
      </c>
      <c r="K617" s="4" t="n"/>
      <c r="L617" s="9">
        <f>IF(COUNTA(A617,C617,D617,E617,F617,G617,H617,I617)=0,"",IF(OR(A617="",C617="",E617="",G617=""),"Missing week/class/team",IF(AND(D617="",I617&lt;&gt;"Y"),"No chapter (forfeit?)",IF(AND(D617&lt;&gt;"",I617="Y"),"Forfeit has a chapter",IF(OR(F617="",H617=""),"Missing score",IF(F617=H617,"Tie score",IF(COUNTIFS($A$2:$A$801,A617,$E$2:$E$801,E617)+COUNTIFS($A$2:$A$801,A617,$G$2:$G$801,E617)&gt;1,"Team 1 listed twice this week",IF(COUNTIFS($A$2:$A$801,A617,$E$2:$E$801,G617)+COUNTIFS($A$2:$A$801,A617,$G$2:$G$801,G617)&gt;1,"Team 2 listed twice this week",""))))))))</f>
        <v/>
      </c>
    </row>
    <row r="618">
      <c r="A618" s="11" t="n"/>
      <c r="B618" s="9">
        <f>IF(A618="","",IFERROR(INDEX(Lists!$G$2:$G$7,MATCH(A618,Lists!$F$2:$F$7,0)),"?"))</f>
        <v/>
      </c>
      <c r="C618" s="4" t="n"/>
      <c r="D618" s="4" t="n"/>
      <c r="E618" s="4" t="n"/>
      <c r="F618" s="11" t="n"/>
      <c r="G618" s="4" t="n"/>
      <c r="H618" s="11" t="n"/>
      <c r="I618" s="11" t="n"/>
      <c r="J618" s="9">
        <f>IF(OR(F618="",H618=""),"",IF(F618&gt;H618,E618,IF(H618&gt;F618,G618,"")))</f>
        <v/>
      </c>
      <c r="K618" s="4" t="n"/>
      <c r="L618" s="9">
        <f>IF(COUNTA(A618,C618,D618,E618,F618,G618,H618,I618)=0,"",IF(OR(A618="",C618="",E618="",G618=""),"Missing week/class/team",IF(AND(D618="",I618&lt;&gt;"Y"),"No chapter (forfeit?)",IF(AND(D618&lt;&gt;"",I618="Y"),"Forfeit has a chapter",IF(OR(F618="",H618=""),"Missing score",IF(F618=H618,"Tie score",IF(COUNTIFS($A$2:$A$801,A618,$E$2:$E$801,E618)+COUNTIFS($A$2:$A$801,A618,$G$2:$G$801,E618)&gt;1,"Team 1 listed twice this week",IF(COUNTIFS($A$2:$A$801,A618,$E$2:$E$801,G618)+COUNTIFS($A$2:$A$801,A618,$G$2:$G$801,G618)&gt;1,"Team 2 listed twice this week",""))))))))</f>
        <v/>
      </c>
    </row>
    <row r="619">
      <c r="A619" s="11" t="n"/>
      <c r="B619" s="9">
        <f>IF(A619="","",IFERROR(INDEX(Lists!$G$2:$G$7,MATCH(A619,Lists!$F$2:$F$7,0)),"?"))</f>
        <v/>
      </c>
      <c r="C619" s="4" t="n"/>
      <c r="D619" s="4" t="n"/>
      <c r="E619" s="4" t="n"/>
      <c r="F619" s="11" t="n"/>
      <c r="G619" s="4" t="n"/>
      <c r="H619" s="11" t="n"/>
      <c r="I619" s="11" t="n"/>
      <c r="J619" s="9">
        <f>IF(OR(F619="",H619=""),"",IF(F619&gt;H619,E619,IF(H619&gt;F619,G619,"")))</f>
        <v/>
      </c>
      <c r="K619" s="4" t="n"/>
      <c r="L619" s="9">
        <f>IF(COUNTA(A619,C619,D619,E619,F619,G619,H619,I619)=0,"",IF(OR(A619="",C619="",E619="",G619=""),"Missing week/class/team",IF(AND(D619="",I619&lt;&gt;"Y"),"No chapter (forfeit?)",IF(AND(D619&lt;&gt;"",I619="Y"),"Forfeit has a chapter",IF(OR(F619="",H619=""),"Missing score",IF(F619=H619,"Tie score",IF(COUNTIFS($A$2:$A$801,A619,$E$2:$E$801,E619)+COUNTIFS($A$2:$A$801,A619,$G$2:$G$801,E619)&gt;1,"Team 1 listed twice this week",IF(COUNTIFS($A$2:$A$801,A619,$E$2:$E$801,G619)+COUNTIFS($A$2:$A$801,A619,$G$2:$G$801,G619)&gt;1,"Team 2 listed twice this week",""))))))))</f>
        <v/>
      </c>
    </row>
    <row r="620">
      <c r="A620" s="11" t="n"/>
      <c r="B620" s="9">
        <f>IF(A620="","",IFERROR(INDEX(Lists!$G$2:$G$7,MATCH(A620,Lists!$F$2:$F$7,0)),"?"))</f>
        <v/>
      </c>
      <c r="C620" s="4" t="n"/>
      <c r="D620" s="4" t="n"/>
      <c r="E620" s="4" t="n"/>
      <c r="F620" s="11" t="n"/>
      <c r="G620" s="4" t="n"/>
      <c r="H620" s="11" t="n"/>
      <c r="I620" s="11" t="n"/>
      <c r="J620" s="9">
        <f>IF(OR(F620="",H620=""),"",IF(F620&gt;H620,E620,IF(H620&gt;F620,G620,"")))</f>
        <v/>
      </c>
      <c r="K620" s="4" t="n"/>
      <c r="L620" s="9">
        <f>IF(COUNTA(A620,C620,D620,E620,F620,G620,H620,I620)=0,"",IF(OR(A620="",C620="",E620="",G620=""),"Missing week/class/team",IF(AND(D620="",I620&lt;&gt;"Y"),"No chapter (forfeit?)",IF(AND(D620&lt;&gt;"",I620="Y"),"Forfeit has a chapter",IF(OR(F620="",H620=""),"Missing score",IF(F620=H620,"Tie score",IF(COUNTIFS($A$2:$A$801,A620,$E$2:$E$801,E620)+COUNTIFS($A$2:$A$801,A620,$G$2:$G$801,E620)&gt;1,"Team 1 listed twice this week",IF(COUNTIFS($A$2:$A$801,A620,$E$2:$E$801,G620)+COUNTIFS($A$2:$A$801,A620,$G$2:$G$801,G620)&gt;1,"Team 2 listed twice this week",""))))))))</f>
        <v/>
      </c>
    </row>
    <row r="621">
      <c r="A621" s="11" t="n"/>
      <c r="B621" s="9">
        <f>IF(A621="","",IFERROR(INDEX(Lists!$G$2:$G$7,MATCH(A621,Lists!$F$2:$F$7,0)),"?"))</f>
        <v/>
      </c>
      <c r="C621" s="4" t="n"/>
      <c r="D621" s="4" t="n"/>
      <c r="E621" s="4" t="n"/>
      <c r="F621" s="11" t="n"/>
      <c r="G621" s="4" t="n"/>
      <c r="H621" s="11" t="n"/>
      <c r="I621" s="11" t="n"/>
      <c r="J621" s="9">
        <f>IF(OR(F621="",H621=""),"",IF(F621&gt;H621,E621,IF(H621&gt;F621,G621,"")))</f>
        <v/>
      </c>
      <c r="K621" s="4" t="n"/>
      <c r="L621" s="9">
        <f>IF(COUNTA(A621,C621,D621,E621,F621,G621,H621,I621)=0,"",IF(OR(A621="",C621="",E621="",G621=""),"Missing week/class/team",IF(AND(D621="",I621&lt;&gt;"Y"),"No chapter (forfeit?)",IF(AND(D621&lt;&gt;"",I621="Y"),"Forfeit has a chapter",IF(OR(F621="",H621=""),"Missing score",IF(F621=H621,"Tie score",IF(COUNTIFS($A$2:$A$801,A621,$E$2:$E$801,E621)+COUNTIFS($A$2:$A$801,A621,$G$2:$G$801,E621)&gt;1,"Team 1 listed twice this week",IF(COUNTIFS($A$2:$A$801,A621,$E$2:$E$801,G621)+COUNTIFS($A$2:$A$801,A621,$G$2:$G$801,G621)&gt;1,"Team 2 listed twice this week",""))))))))</f>
        <v/>
      </c>
    </row>
    <row r="622">
      <c r="A622" s="11" t="n"/>
      <c r="B622" s="9">
        <f>IF(A622="","",IFERROR(INDEX(Lists!$G$2:$G$7,MATCH(A622,Lists!$F$2:$F$7,0)),"?"))</f>
        <v/>
      </c>
      <c r="C622" s="4" t="n"/>
      <c r="D622" s="4" t="n"/>
      <c r="E622" s="4" t="n"/>
      <c r="F622" s="11" t="n"/>
      <c r="G622" s="4" t="n"/>
      <c r="H622" s="11" t="n"/>
      <c r="I622" s="11" t="n"/>
      <c r="J622" s="9">
        <f>IF(OR(F622="",H622=""),"",IF(F622&gt;H622,E622,IF(H622&gt;F622,G622,"")))</f>
        <v/>
      </c>
      <c r="K622" s="4" t="n"/>
      <c r="L622" s="9">
        <f>IF(COUNTA(A622,C622,D622,E622,F622,G622,H622,I622)=0,"",IF(OR(A622="",C622="",E622="",G622=""),"Missing week/class/team",IF(AND(D622="",I622&lt;&gt;"Y"),"No chapter (forfeit?)",IF(AND(D622&lt;&gt;"",I622="Y"),"Forfeit has a chapter",IF(OR(F622="",H622=""),"Missing score",IF(F622=H622,"Tie score",IF(COUNTIFS($A$2:$A$801,A622,$E$2:$E$801,E622)+COUNTIFS($A$2:$A$801,A622,$G$2:$G$801,E622)&gt;1,"Team 1 listed twice this week",IF(COUNTIFS($A$2:$A$801,A622,$E$2:$E$801,G622)+COUNTIFS($A$2:$A$801,A622,$G$2:$G$801,G622)&gt;1,"Team 2 listed twice this week",""))))))))</f>
        <v/>
      </c>
    </row>
    <row r="623">
      <c r="A623" s="11" t="n"/>
      <c r="B623" s="9">
        <f>IF(A623="","",IFERROR(INDEX(Lists!$G$2:$G$7,MATCH(A623,Lists!$F$2:$F$7,0)),"?"))</f>
        <v/>
      </c>
      <c r="C623" s="4" t="n"/>
      <c r="D623" s="4" t="n"/>
      <c r="E623" s="4" t="n"/>
      <c r="F623" s="11" t="n"/>
      <c r="G623" s="4" t="n"/>
      <c r="H623" s="11" t="n"/>
      <c r="I623" s="11" t="n"/>
      <c r="J623" s="9">
        <f>IF(OR(F623="",H623=""),"",IF(F623&gt;H623,E623,IF(H623&gt;F623,G623,"")))</f>
        <v/>
      </c>
      <c r="K623" s="4" t="n"/>
      <c r="L623" s="9">
        <f>IF(COUNTA(A623,C623,D623,E623,F623,G623,H623,I623)=0,"",IF(OR(A623="",C623="",E623="",G623=""),"Missing week/class/team",IF(AND(D623="",I623&lt;&gt;"Y"),"No chapter (forfeit?)",IF(AND(D623&lt;&gt;"",I623="Y"),"Forfeit has a chapter",IF(OR(F623="",H623=""),"Missing score",IF(F623=H623,"Tie score",IF(COUNTIFS($A$2:$A$801,A623,$E$2:$E$801,E623)+COUNTIFS($A$2:$A$801,A623,$G$2:$G$801,E623)&gt;1,"Team 1 listed twice this week",IF(COUNTIFS($A$2:$A$801,A623,$E$2:$E$801,G623)+COUNTIFS($A$2:$A$801,A623,$G$2:$G$801,G623)&gt;1,"Team 2 listed twice this week",""))))))))</f>
        <v/>
      </c>
    </row>
    <row r="624">
      <c r="A624" s="11" t="n"/>
      <c r="B624" s="9">
        <f>IF(A624="","",IFERROR(INDEX(Lists!$G$2:$G$7,MATCH(A624,Lists!$F$2:$F$7,0)),"?"))</f>
        <v/>
      </c>
      <c r="C624" s="4" t="n"/>
      <c r="D624" s="4" t="n"/>
      <c r="E624" s="4" t="n"/>
      <c r="F624" s="11" t="n"/>
      <c r="G624" s="4" t="n"/>
      <c r="H624" s="11" t="n"/>
      <c r="I624" s="11" t="n"/>
      <c r="J624" s="9">
        <f>IF(OR(F624="",H624=""),"",IF(F624&gt;H624,E624,IF(H624&gt;F624,G624,"")))</f>
        <v/>
      </c>
      <c r="K624" s="4" t="n"/>
      <c r="L624" s="9">
        <f>IF(COUNTA(A624,C624,D624,E624,F624,G624,H624,I624)=0,"",IF(OR(A624="",C624="",E624="",G624=""),"Missing week/class/team",IF(AND(D624="",I624&lt;&gt;"Y"),"No chapter (forfeit?)",IF(AND(D624&lt;&gt;"",I624="Y"),"Forfeit has a chapter",IF(OR(F624="",H624=""),"Missing score",IF(F624=H624,"Tie score",IF(COUNTIFS($A$2:$A$801,A624,$E$2:$E$801,E624)+COUNTIFS($A$2:$A$801,A624,$G$2:$G$801,E624)&gt;1,"Team 1 listed twice this week",IF(COUNTIFS($A$2:$A$801,A624,$E$2:$E$801,G624)+COUNTIFS($A$2:$A$801,A624,$G$2:$G$801,G624)&gt;1,"Team 2 listed twice this week",""))))))))</f>
        <v/>
      </c>
    </row>
    <row r="625">
      <c r="A625" s="11" t="n"/>
      <c r="B625" s="9">
        <f>IF(A625="","",IFERROR(INDEX(Lists!$G$2:$G$7,MATCH(A625,Lists!$F$2:$F$7,0)),"?"))</f>
        <v/>
      </c>
      <c r="C625" s="4" t="n"/>
      <c r="D625" s="4" t="n"/>
      <c r="E625" s="4" t="n"/>
      <c r="F625" s="11" t="n"/>
      <c r="G625" s="4" t="n"/>
      <c r="H625" s="11" t="n"/>
      <c r="I625" s="11" t="n"/>
      <c r="J625" s="9">
        <f>IF(OR(F625="",H625=""),"",IF(F625&gt;H625,E625,IF(H625&gt;F625,G625,"")))</f>
        <v/>
      </c>
      <c r="K625" s="4" t="n"/>
      <c r="L625" s="9">
        <f>IF(COUNTA(A625,C625,D625,E625,F625,G625,H625,I625)=0,"",IF(OR(A625="",C625="",E625="",G625=""),"Missing week/class/team",IF(AND(D625="",I625&lt;&gt;"Y"),"No chapter (forfeit?)",IF(AND(D625&lt;&gt;"",I625="Y"),"Forfeit has a chapter",IF(OR(F625="",H625=""),"Missing score",IF(F625=H625,"Tie score",IF(COUNTIFS($A$2:$A$801,A625,$E$2:$E$801,E625)+COUNTIFS($A$2:$A$801,A625,$G$2:$G$801,E625)&gt;1,"Team 1 listed twice this week",IF(COUNTIFS($A$2:$A$801,A625,$E$2:$E$801,G625)+COUNTIFS($A$2:$A$801,A625,$G$2:$G$801,G625)&gt;1,"Team 2 listed twice this week",""))))))))</f>
        <v/>
      </c>
    </row>
    <row r="626">
      <c r="A626" s="11" t="n"/>
      <c r="B626" s="9">
        <f>IF(A626="","",IFERROR(INDEX(Lists!$G$2:$G$7,MATCH(A626,Lists!$F$2:$F$7,0)),"?"))</f>
        <v/>
      </c>
      <c r="C626" s="4" t="n"/>
      <c r="D626" s="4" t="n"/>
      <c r="E626" s="4" t="n"/>
      <c r="F626" s="11" t="n"/>
      <c r="G626" s="4" t="n"/>
      <c r="H626" s="11" t="n"/>
      <c r="I626" s="11" t="n"/>
      <c r="J626" s="9">
        <f>IF(OR(F626="",H626=""),"",IF(F626&gt;H626,E626,IF(H626&gt;F626,G626,"")))</f>
        <v/>
      </c>
      <c r="K626" s="4" t="n"/>
      <c r="L626" s="9">
        <f>IF(COUNTA(A626,C626,D626,E626,F626,G626,H626,I626)=0,"",IF(OR(A626="",C626="",E626="",G626=""),"Missing week/class/team",IF(AND(D626="",I626&lt;&gt;"Y"),"No chapter (forfeit?)",IF(AND(D626&lt;&gt;"",I626="Y"),"Forfeit has a chapter",IF(OR(F626="",H626=""),"Missing score",IF(F626=H626,"Tie score",IF(COUNTIFS($A$2:$A$801,A626,$E$2:$E$801,E626)+COUNTIFS($A$2:$A$801,A626,$G$2:$G$801,E626)&gt;1,"Team 1 listed twice this week",IF(COUNTIFS($A$2:$A$801,A626,$E$2:$E$801,G626)+COUNTIFS($A$2:$A$801,A626,$G$2:$G$801,G626)&gt;1,"Team 2 listed twice this week",""))))))))</f>
        <v/>
      </c>
    </row>
    <row r="627">
      <c r="A627" s="11" t="n"/>
      <c r="B627" s="9">
        <f>IF(A627="","",IFERROR(INDEX(Lists!$G$2:$G$7,MATCH(A627,Lists!$F$2:$F$7,0)),"?"))</f>
        <v/>
      </c>
      <c r="C627" s="4" t="n"/>
      <c r="D627" s="4" t="n"/>
      <c r="E627" s="4" t="n"/>
      <c r="F627" s="11" t="n"/>
      <c r="G627" s="4" t="n"/>
      <c r="H627" s="11" t="n"/>
      <c r="I627" s="11" t="n"/>
      <c r="J627" s="9">
        <f>IF(OR(F627="",H627=""),"",IF(F627&gt;H627,E627,IF(H627&gt;F627,G627,"")))</f>
        <v/>
      </c>
      <c r="K627" s="4" t="n"/>
      <c r="L627" s="9">
        <f>IF(COUNTA(A627,C627,D627,E627,F627,G627,H627,I627)=0,"",IF(OR(A627="",C627="",E627="",G627=""),"Missing week/class/team",IF(AND(D627="",I627&lt;&gt;"Y"),"No chapter (forfeit?)",IF(AND(D627&lt;&gt;"",I627="Y"),"Forfeit has a chapter",IF(OR(F627="",H627=""),"Missing score",IF(F627=H627,"Tie score",IF(COUNTIFS($A$2:$A$801,A627,$E$2:$E$801,E627)+COUNTIFS($A$2:$A$801,A627,$G$2:$G$801,E627)&gt;1,"Team 1 listed twice this week",IF(COUNTIFS($A$2:$A$801,A627,$E$2:$E$801,G627)+COUNTIFS($A$2:$A$801,A627,$G$2:$G$801,G627)&gt;1,"Team 2 listed twice this week",""))))))))</f>
        <v/>
      </c>
    </row>
    <row r="628">
      <c r="A628" s="11" t="n"/>
      <c r="B628" s="9">
        <f>IF(A628="","",IFERROR(INDEX(Lists!$G$2:$G$7,MATCH(A628,Lists!$F$2:$F$7,0)),"?"))</f>
        <v/>
      </c>
      <c r="C628" s="4" t="n"/>
      <c r="D628" s="4" t="n"/>
      <c r="E628" s="4" t="n"/>
      <c r="F628" s="11" t="n"/>
      <c r="G628" s="4" t="n"/>
      <c r="H628" s="11" t="n"/>
      <c r="I628" s="11" t="n"/>
      <c r="J628" s="9">
        <f>IF(OR(F628="",H628=""),"",IF(F628&gt;H628,E628,IF(H628&gt;F628,G628,"")))</f>
        <v/>
      </c>
      <c r="K628" s="4" t="n"/>
      <c r="L628" s="9">
        <f>IF(COUNTA(A628,C628,D628,E628,F628,G628,H628,I628)=0,"",IF(OR(A628="",C628="",E628="",G628=""),"Missing week/class/team",IF(AND(D628="",I628&lt;&gt;"Y"),"No chapter (forfeit?)",IF(AND(D628&lt;&gt;"",I628="Y"),"Forfeit has a chapter",IF(OR(F628="",H628=""),"Missing score",IF(F628=H628,"Tie score",IF(COUNTIFS($A$2:$A$801,A628,$E$2:$E$801,E628)+COUNTIFS($A$2:$A$801,A628,$G$2:$G$801,E628)&gt;1,"Team 1 listed twice this week",IF(COUNTIFS($A$2:$A$801,A628,$E$2:$E$801,G628)+COUNTIFS($A$2:$A$801,A628,$G$2:$G$801,G628)&gt;1,"Team 2 listed twice this week",""))))))))</f>
        <v/>
      </c>
    </row>
    <row r="629">
      <c r="A629" s="11" t="n"/>
      <c r="B629" s="9">
        <f>IF(A629="","",IFERROR(INDEX(Lists!$G$2:$G$7,MATCH(A629,Lists!$F$2:$F$7,0)),"?"))</f>
        <v/>
      </c>
      <c r="C629" s="4" t="n"/>
      <c r="D629" s="4" t="n"/>
      <c r="E629" s="4" t="n"/>
      <c r="F629" s="11" t="n"/>
      <c r="G629" s="4" t="n"/>
      <c r="H629" s="11" t="n"/>
      <c r="I629" s="11" t="n"/>
      <c r="J629" s="9">
        <f>IF(OR(F629="",H629=""),"",IF(F629&gt;H629,E629,IF(H629&gt;F629,G629,"")))</f>
        <v/>
      </c>
      <c r="K629" s="4" t="n"/>
      <c r="L629" s="9">
        <f>IF(COUNTA(A629,C629,D629,E629,F629,G629,H629,I629)=0,"",IF(OR(A629="",C629="",E629="",G629=""),"Missing week/class/team",IF(AND(D629="",I629&lt;&gt;"Y"),"No chapter (forfeit?)",IF(AND(D629&lt;&gt;"",I629="Y"),"Forfeit has a chapter",IF(OR(F629="",H629=""),"Missing score",IF(F629=H629,"Tie score",IF(COUNTIFS($A$2:$A$801,A629,$E$2:$E$801,E629)+COUNTIFS($A$2:$A$801,A629,$G$2:$G$801,E629)&gt;1,"Team 1 listed twice this week",IF(COUNTIFS($A$2:$A$801,A629,$E$2:$E$801,G629)+COUNTIFS($A$2:$A$801,A629,$G$2:$G$801,G629)&gt;1,"Team 2 listed twice this week",""))))))))</f>
        <v/>
      </c>
    </row>
    <row r="630">
      <c r="A630" s="11" t="n"/>
      <c r="B630" s="9">
        <f>IF(A630="","",IFERROR(INDEX(Lists!$G$2:$G$7,MATCH(A630,Lists!$F$2:$F$7,0)),"?"))</f>
        <v/>
      </c>
      <c r="C630" s="4" t="n"/>
      <c r="D630" s="4" t="n"/>
      <c r="E630" s="4" t="n"/>
      <c r="F630" s="11" t="n"/>
      <c r="G630" s="4" t="n"/>
      <c r="H630" s="11" t="n"/>
      <c r="I630" s="11" t="n"/>
      <c r="J630" s="9">
        <f>IF(OR(F630="",H630=""),"",IF(F630&gt;H630,E630,IF(H630&gt;F630,G630,"")))</f>
        <v/>
      </c>
      <c r="K630" s="4" t="n"/>
      <c r="L630" s="9">
        <f>IF(COUNTA(A630,C630,D630,E630,F630,G630,H630,I630)=0,"",IF(OR(A630="",C630="",E630="",G630=""),"Missing week/class/team",IF(AND(D630="",I630&lt;&gt;"Y"),"No chapter (forfeit?)",IF(AND(D630&lt;&gt;"",I630="Y"),"Forfeit has a chapter",IF(OR(F630="",H630=""),"Missing score",IF(F630=H630,"Tie score",IF(COUNTIFS($A$2:$A$801,A630,$E$2:$E$801,E630)+COUNTIFS($A$2:$A$801,A630,$G$2:$G$801,E630)&gt;1,"Team 1 listed twice this week",IF(COUNTIFS($A$2:$A$801,A630,$E$2:$E$801,G630)+COUNTIFS($A$2:$A$801,A630,$G$2:$G$801,G630)&gt;1,"Team 2 listed twice this week",""))))))))</f>
        <v/>
      </c>
    </row>
    <row r="631">
      <c r="A631" s="11" t="n"/>
      <c r="B631" s="9">
        <f>IF(A631="","",IFERROR(INDEX(Lists!$G$2:$G$7,MATCH(A631,Lists!$F$2:$F$7,0)),"?"))</f>
        <v/>
      </c>
      <c r="C631" s="4" t="n"/>
      <c r="D631" s="4" t="n"/>
      <c r="E631" s="4" t="n"/>
      <c r="F631" s="11" t="n"/>
      <c r="G631" s="4" t="n"/>
      <c r="H631" s="11" t="n"/>
      <c r="I631" s="11" t="n"/>
      <c r="J631" s="9">
        <f>IF(OR(F631="",H631=""),"",IF(F631&gt;H631,E631,IF(H631&gt;F631,G631,"")))</f>
        <v/>
      </c>
      <c r="K631" s="4" t="n"/>
      <c r="L631" s="9">
        <f>IF(COUNTA(A631,C631,D631,E631,F631,G631,H631,I631)=0,"",IF(OR(A631="",C631="",E631="",G631=""),"Missing week/class/team",IF(AND(D631="",I631&lt;&gt;"Y"),"No chapter (forfeit?)",IF(AND(D631&lt;&gt;"",I631="Y"),"Forfeit has a chapter",IF(OR(F631="",H631=""),"Missing score",IF(F631=H631,"Tie score",IF(COUNTIFS($A$2:$A$801,A631,$E$2:$E$801,E631)+COUNTIFS($A$2:$A$801,A631,$G$2:$G$801,E631)&gt;1,"Team 1 listed twice this week",IF(COUNTIFS($A$2:$A$801,A631,$E$2:$E$801,G631)+COUNTIFS($A$2:$A$801,A631,$G$2:$G$801,G631)&gt;1,"Team 2 listed twice this week",""))))))))</f>
        <v/>
      </c>
    </row>
    <row r="632">
      <c r="A632" s="11" t="n"/>
      <c r="B632" s="9">
        <f>IF(A632="","",IFERROR(INDEX(Lists!$G$2:$G$7,MATCH(A632,Lists!$F$2:$F$7,0)),"?"))</f>
        <v/>
      </c>
      <c r="C632" s="4" t="n"/>
      <c r="D632" s="4" t="n"/>
      <c r="E632" s="4" t="n"/>
      <c r="F632" s="11" t="n"/>
      <c r="G632" s="4" t="n"/>
      <c r="H632" s="11" t="n"/>
      <c r="I632" s="11" t="n"/>
      <c r="J632" s="9">
        <f>IF(OR(F632="",H632=""),"",IF(F632&gt;H632,E632,IF(H632&gt;F632,G632,"")))</f>
        <v/>
      </c>
      <c r="K632" s="4" t="n"/>
      <c r="L632" s="9">
        <f>IF(COUNTA(A632,C632,D632,E632,F632,G632,H632,I632)=0,"",IF(OR(A632="",C632="",E632="",G632=""),"Missing week/class/team",IF(AND(D632="",I632&lt;&gt;"Y"),"No chapter (forfeit?)",IF(AND(D632&lt;&gt;"",I632="Y"),"Forfeit has a chapter",IF(OR(F632="",H632=""),"Missing score",IF(F632=H632,"Tie score",IF(COUNTIFS($A$2:$A$801,A632,$E$2:$E$801,E632)+COUNTIFS($A$2:$A$801,A632,$G$2:$G$801,E632)&gt;1,"Team 1 listed twice this week",IF(COUNTIFS($A$2:$A$801,A632,$E$2:$E$801,G632)+COUNTIFS($A$2:$A$801,A632,$G$2:$G$801,G632)&gt;1,"Team 2 listed twice this week",""))))))))</f>
        <v/>
      </c>
    </row>
    <row r="633">
      <c r="A633" s="11" t="n"/>
      <c r="B633" s="9">
        <f>IF(A633="","",IFERROR(INDEX(Lists!$G$2:$G$7,MATCH(A633,Lists!$F$2:$F$7,0)),"?"))</f>
        <v/>
      </c>
      <c r="C633" s="4" t="n"/>
      <c r="D633" s="4" t="n"/>
      <c r="E633" s="4" t="n"/>
      <c r="F633" s="11" t="n"/>
      <c r="G633" s="4" t="n"/>
      <c r="H633" s="11" t="n"/>
      <c r="I633" s="11" t="n"/>
      <c r="J633" s="9">
        <f>IF(OR(F633="",H633=""),"",IF(F633&gt;H633,E633,IF(H633&gt;F633,G633,"")))</f>
        <v/>
      </c>
      <c r="K633" s="4" t="n"/>
      <c r="L633" s="9">
        <f>IF(COUNTA(A633,C633,D633,E633,F633,G633,H633,I633)=0,"",IF(OR(A633="",C633="",E633="",G633=""),"Missing week/class/team",IF(AND(D633="",I633&lt;&gt;"Y"),"No chapter (forfeit?)",IF(AND(D633&lt;&gt;"",I633="Y"),"Forfeit has a chapter",IF(OR(F633="",H633=""),"Missing score",IF(F633=H633,"Tie score",IF(COUNTIFS($A$2:$A$801,A633,$E$2:$E$801,E633)+COUNTIFS($A$2:$A$801,A633,$G$2:$G$801,E633)&gt;1,"Team 1 listed twice this week",IF(COUNTIFS($A$2:$A$801,A633,$E$2:$E$801,G633)+COUNTIFS($A$2:$A$801,A633,$G$2:$G$801,G633)&gt;1,"Team 2 listed twice this week",""))))))))</f>
        <v/>
      </c>
    </row>
    <row r="634">
      <c r="A634" s="11" t="n"/>
      <c r="B634" s="9">
        <f>IF(A634="","",IFERROR(INDEX(Lists!$G$2:$G$7,MATCH(A634,Lists!$F$2:$F$7,0)),"?"))</f>
        <v/>
      </c>
      <c r="C634" s="4" t="n"/>
      <c r="D634" s="4" t="n"/>
      <c r="E634" s="4" t="n"/>
      <c r="F634" s="11" t="n"/>
      <c r="G634" s="4" t="n"/>
      <c r="H634" s="11" t="n"/>
      <c r="I634" s="11" t="n"/>
      <c r="J634" s="9">
        <f>IF(OR(F634="",H634=""),"",IF(F634&gt;H634,E634,IF(H634&gt;F634,G634,"")))</f>
        <v/>
      </c>
      <c r="K634" s="4" t="n"/>
      <c r="L634" s="9">
        <f>IF(COUNTA(A634,C634,D634,E634,F634,G634,H634,I634)=0,"",IF(OR(A634="",C634="",E634="",G634=""),"Missing week/class/team",IF(AND(D634="",I634&lt;&gt;"Y"),"No chapter (forfeit?)",IF(AND(D634&lt;&gt;"",I634="Y"),"Forfeit has a chapter",IF(OR(F634="",H634=""),"Missing score",IF(F634=H634,"Tie score",IF(COUNTIFS($A$2:$A$801,A634,$E$2:$E$801,E634)+COUNTIFS($A$2:$A$801,A634,$G$2:$G$801,E634)&gt;1,"Team 1 listed twice this week",IF(COUNTIFS($A$2:$A$801,A634,$E$2:$E$801,G634)+COUNTIFS($A$2:$A$801,A634,$G$2:$G$801,G634)&gt;1,"Team 2 listed twice this week",""))))))))</f>
        <v/>
      </c>
    </row>
    <row r="635">
      <c r="A635" s="11" t="n"/>
      <c r="B635" s="9">
        <f>IF(A635="","",IFERROR(INDEX(Lists!$G$2:$G$7,MATCH(A635,Lists!$F$2:$F$7,0)),"?"))</f>
        <v/>
      </c>
      <c r="C635" s="4" t="n"/>
      <c r="D635" s="4" t="n"/>
      <c r="E635" s="4" t="n"/>
      <c r="F635" s="11" t="n"/>
      <c r="G635" s="4" t="n"/>
      <c r="H635" s="11" t="n"/>
      <c r="I635" s="11" t="n"/>
      <c r="J635" s="9">
        <f>IF(OR(F635="",H635=""),"",IF(F635&gt;H635,E635,IF(H635&gt;F635,G635,"")))</f>
        <v/>
      </c>
      <c r="K635" s="4" t="n"/>
      <c r="L635" s="9">
        <f>IF(COUNTA(A635,C635,D635,E635,F635,G635,H635,I635)=0,"",IF(OR(A635="",C635="",E635="",G635=""),"Missing week/class/team",IF(AND(D635="",I635&lt;&gt;"Y"),"No chapter (forfeit?)",IF(AND(D635&lt;&gt;"",I635="Y"),"Forfeit has a chapter",IF(OR(F635="",H635=""),"Missing score",IF(F635=H635,"Tie score",IF(COUNTIFS($A$2:$A$801,A635,$E$2:$E$801,E635)+COUNTIFS($A$2:$A$801,A635,$G$2:$G$801,E635)&gt;1,"Team 1 listed twice this week",IF(COUNTIFS($A$2:$A$801,A635,$E$2:$E$801,G635)+COUNTIFS($A$2:$A$801,A635,$G$2:$G$801,G635)&gt;1,"Team 2 listed twice this week",""))))))))</f>
        <v/>
      </c>
    </row>
    <row r="636">
      <c r="A636" s="11" t="n"/>
      <c r="B636" s="9">
        <f>IF(A636="","",IFERROR(INDEX(Lists!$G$2:$G$7,MATCH(A636,Lists!$F$2:$F$7,0)),"?"))</f>
        <v/>
      </c>
      <c r="C636" s="4" t="n"/>
      <c r="D636" s="4" t="n"/>
      <c r="E636" s="4" t="n"/>
      <c r="F636" s="11" t="n"/>
      <c r="G636" s="4" t="n"/>
      <c r="H636" s="11" t="n"/>
      <c r="I636" s="11" t="n"/>
      <c r="J636" s="9">
        <f>IF(OR(F636="",H636=""),"",IF(F636&gt;H636,E636,IF(H636&gt;F636,G636,"")))</f>
        <v/>
      </c>
      <c r="K636" s="4" t="n"/>
      <c r="L636" s="9">
        <f>IF(COUNTA(A636,C636,D636,E636,F636,G636,H636,I636)=0,"",IF(OR(A636="",C636="",E636="",G636=""),"Missing week/class/team",IF(AND(D636="",I636&lt;&gt;"Y"),"No chapter (forfeit?)",IF(AND(D636&lt;&gt;"",I636="Y"),"Forfeit has a chapter",IF(OR(F636="",H636=""),"Missing score",IF(F636=H636,"Tie score",IF(COUNTIFS($A$2:$A$801,A636,$E$2:$E$801,E636)+COUNTIFS($A$2:$A$801,A636,$G$2:$G$801,E636)&gt;1,"Team 1 listed twice this week",IF(COUNTIFS($A$2:$A$801,A636,$E$2:$E$801,G636)+COUNTIFS($A$2:$A$801,A636,$G$2:$G$801,G636)&gt;1,"Team 2 listed twice this week",""))))))))</f>
        <v/>
      </c>
    </row>
    <row r="637">
      <c r="A637" s="11" t="n"/>
      <c r="B637" s="9">
        <f>IF(A637="","",IFERROR(INDEX(Lists!$G$2:$G$7,MATCH(A637,Lists!$F$2:$F$7,0)),"?"))</f>
        <v/>
      </c>
      <c r="C637" s="4" t="n"/>
      <c r="D637" s="4" t="n"/>
      <c r="E637" s="4" t="n"/>
      <c r="F637" s="11" t="n"/>
      <c r="G637" s="4" t="n"/>
      <c r="H637" s="11" t="n"/>
      <c r="I637" s="11" t="n"/>
      <c r="J637" s="9">
        <f>IF(OR(F637="",H637=""),"",IF(F637&gt;H637,E637,IF(H637&gt;F637,G637,"")))</f>
        <v/>
      </c>
      <c r="K637" s="4" t="n"/>
      <c r="L637" s="9">
        <f>IF(COUNTA(A637,C637,D637,E637,F637,G637,H637,I637)=0,"",IF(OR(A637="",C637="",E637="",G637=""),"Missing week/class/team",IF(AND(D637="",I637&lt;&gt;"Y"),"No chapter (forfeit?)",IF(AND(D637&lt;&gt;"",I637="Y"),"Forfeit has a chapter",IF(OR(F637="",H637=""),"Missing score",IF(F637=H637,"Tie score",IF(COUNTIFS($A$2:$A$801,A637,$E$2:$E$801,E637)+COUNTIFS($A$2:$A$801,A637,$G$2:$G$801,E637)&gt;1,"Team 1 listed twice this week",IF(COUNTIFS($A$2:$A$801,A637,$E$2:$E$801,G637)+COUNTIFS($A$2:$A$801,A637,$G$2:$G$801,G637)&gt;1,"Team 2 listed twice this week",""))))))))</f>
        <v/>
      </c>
    </row>
    <row r="638">
      <c r="A638" s="11" t="n"/>
      <c r="B638" s="9">
        <f>IF(A638="","",IFERROR(INDEX(Lists!$G$2:$G$7,MATCH(A638,Lists!$F$2:$F$7,0)),"?"))</f>
        <v/>
      </c>
      <c r="C638" s="4" t="n"/>
      <c r="D638" s="4" t="n"/>
      <c r="E638" s="4" t="n"/>
      <c r="F638" s="11" t="n"/>
      <c r="G638" s="4" t="n"/>
      <c r="H638" s="11" t="n"/>
      <c r="I638" s="11" t="n"/>
      <c r="J638" s="9">
        <f>IF(OR(F638="",H638=""),"",IF(F638&gt;H638,E638,IF(H638&gt;F638,G638,"")))</f>
        <v/>
      </c>
      <c r="K638" s="4" t="n"/>
      <c r="L638" s="9">
        <f>IF(COUNTA(A638,C638,D638,E638,F638,G638,H638,I638)=0,"",IF(OR(A638="",C638="",E638="",G638=""),"Missing week/class/team",IF(AND(D638="",I638&lt;&gt;"Y"),"No chapter (forfeit?)",IF(AND(D638&lt;&gt;"",I638="Y"),"Forfeit has a chapter",IF(OR(F638="",H638=""),"Missing score",IF(F638=H638,"Tie score",IF(COUNTIFS($A$2:$A$801,A638,$E$2:$E$801,E638)+COUNTIFS($A$2:$A$801,A638,$G$2:$G$801,E638)&gt;1,"Team 1 listed twice this week",IF(COUNTIFS($A$2:$A$801,A638,$E$2:$E$801,G638)+COUNTIFS($A$2:$A$801,A638,$G$2:$G$801,G638)&gt;1,"Team 2 listed twice this week",""))))))))</f>
        <v/>
      </c>
    </row>
    <row r="639">
      <c r="A639" s="11" t="n"/>
      <c r="B639" s="9">
        <f>IF(A639="","",IFERROR(INDEX(Lists!$G$2:$G$7,MATCH(A639,Lists!$F$2:$F$7,0)),"?"))</f>
        <v/>
      </c>
      <c r="C639" s="4" t="n"/>
      <c r="D639" s="4" t="n"/>
      <c r="E639" s="4" t="n"/>
      <c r="F639" s="11" t="n"/>
      <c r="G639" s="4" t="n"/>
      <c r="H639" s="11" t="n"/>
      <c r="I639" s="11" t="n"/>
      <c r="J639" s="9">
        <f>IF(OR(F639="",H639=""),"",IF(F639&gt;H639,E639,IF(H639&gt;F639,G639,"")))</f>
        <v/>
      </c>
      <c r="K639" s="4" t="n"/>
      <c r="L639" s="9">
        <f>IF(COUNTA(A639,C639,D639,E639,F639,G639,H639,I639)=0,"",IF(OR(A639="",C639="",E639="",G639=""),"Missing week/class/team",IF(AND(D639="",I639&lt;&gt;"Y"),"No chapter (forfeit?)",IF(AND(D639&lt;&gt;"",I639="Y"),"Forfeit has a chapter",IF(OR(F639="",H639=""),"Missing score",IF(F639=H639,"Tie score",IF(COUNTIFS($A$2:$A$801,A639,$E$2:$E$801,E639)+COUNTIFS($A$2:$A$801,A639,$G$2:$G$801,E639)&gt;1,"Team 1 listed twice this week",IF(COUNTIFS($A$2:$A$801,A639,$E$2:$E$801,G639)+COUNTIFS($A$2:$A$801,A639,$G$2:$G$801,G639)&gt;1,"Team 2 listed twice this week",""))))))))</f>
        <v/>
      </c>
    </row>
    <row r="640">
      <c r="A640" s="11" t="n"/>
      <c r="B640" s="9">
        <f>IF(A640="","",IFERROR(INDEX(Lists!$G$2:$G$7,MATCH(A640,Lists!$F$2:$F$7,0)),"?"))</f>
        <v/>
      </c>
      <c r="C640" s="4" t="n"/>
      <c r="D640" s="4" t="n"/>
      <c r="E640" s="4" t="n"/>
      <c r="F640" s="11" t="n"/>
      <c r="G640" s="4" t="n"/>
      <c r="H640" s="11" t="n"/>
      <c r="I640" s="11" t="n"/>
      <c r="J640" s="9">
        <f>IF(OR(F640="",H640=""),"",IF(F640&gt;H640,E640,IF(H640&gt;F640,G640,"")))</f>
        <v/>
      </c>
      <c r="K640" s="4" t="n"/>
      <c r="L640" s="9">
        <f>IF(COUNTA(A640,C640,D640,E640,F640,G640,H640,I640)=0,"",IF(OR(A640="",C640="",E640="",G640=""),"Missing week/class/team",IF(AND(D640="",I640&lt;&gt;"Y"),"No chapter (forfeit?)",IF(AND(D640&lt;&gt;"",I640="Y"),"Forfeit has a chapter",IF(OR(F640="",H640=""),"Missing score",IF(F640=H640,"Tie score",IF(COUNTIFS($A$2:$A$801,A640,$E$2:$E$801,E640)+COUNTIFS($A$2:$A$801,A640,$G$2:$G$801,E640)&gt;1,"Team 1 listed twice this week",IF(COUNTIFS($A$2:$A$801,A640,$E$2:$E$801,G640)+COUNTIFS($A$2:$A$801,A640,$G$2:$G$801,G640)&gt;1,"Team 2 listed twice this week",""))))))))</f>
        <v/>
      </c>
    </row>
    <row r="641">
      <c r="A641" s="11" t="n"/>
      <c r="B641" s="9">
        <f>IF(A641="","",IFERROR(INDEX(Lists!$G$2:$G$7,MATCH(A641,Lists!$F$2:$F$7,0)),"?"))</f>
        <v/>
      </c>
      <c r="C641" s="4" t="n"/>
      <c r="D641" s="4" t="n"/>
      <c r="E641" s="4" t="n"/>
      <c r="F641" s="11" t="n"/>
      <c r="G641" s="4" t="n"/>
      <c r="H641" s="11" t="n"/>
      <c r="I641" s="11" t="n"/>
      <c r="J641" s="9">
        <f>IF(OR(F641="",H641=""),"",IF(F641&gt;H641,E641,IF(H641&gt;F641,G641,"")))</f>
        <v/>
      </c>
      <c r="K641" s="4" t="n"/>
      <c r="L641" s="9">
        <f>IF(COUNTA(A641,C641,D641,E641,F641,G641,H641,I641)=0,"",IF(OR(A641="",C641="",E641="",G641=""),"Missing week/class/team",IF(AND(D641="",I641&lt;&gt;"Y"),"No chapter (forfeit?)",IF(AND(D641&lt;&gt;"",I641="Y"),"Forfeit has a chapter",IF(OR(F641="",H641=""),"Missing score",IF(F641=H641,"Tie score",IF(COUNTIFS($A$2:$A$801,A641,$E$2:$E$801,E641)+COUNTIFS($A$2:$A$801,A641,$G$2:$G$801,E641)&gt;1,"Team 1 listed twice this week",IF(COUNTIFS($A$2:$A$801,A641,$E$2:$E$801,G641)+COUNTIFS($A$2:$A$801,A641,$G$2:$G$801,G641)&gt;1,"Team 2 listed twice this week",""))))))))</f>
        <v/>
      </c>
    </row>
    <row r="642">
      <c r="A642" s="11" t="n"/>
      <c r="B642" s="9">
        <f>IF(A642="","",IFERROR(INDEX(Lists!$G$2:$G$7,MATCH(A642,Lists!$F$2:$F$7,0)),"?"))</f>
        <v/>
      </c>
      <c r="C642" s="4" t="n"/>
      <c r="D642" s="4" t="n"/>
      <c r="E642" s="4" t="n"/>
      <c r="F642" s="11" t="n"/>
      <c r="G642" s="4" t="n"/>
      <c r="H642" s="11" t="n"/>
      <c r="I642" s="11" t="n"/>
      <c r="J642" s="9">
        <f>IF(OR(F642="",H642=""),"",IF(F642&gt;H642,E642,IF(H642&gt;F642,G642,"")))</f>
        <v/>
      </c>
      <c r="K642" s="4" t="n"/>
      <c r="L642" s="9">
        <f>IF(COUNTA(A642,C642,D642,E642,F642,G642,H642,I642)=0,"",IF(OR(A642="",C642="",E642="",G642=""),"Missing week/class/team",IF(AND(D642="",I642&lt;&gt;"Y"),"No chapter (forfeit?)",IF(AND(D642&lt;&gt;"",I642="Y"),"Forfeit has a chapter",IF(OR(F642="",H642=""),"Missing score",IF(F642=H642,"Tie score",IF(COUNTIFS($A$2:$A$801,A642,$E$2:$E$801,E642)+COUNTIFS($A$2:$A$801,A642,$G$2:$G$801,E642)&gt;1,"Team 1 listed twice this week",IF(COUNTIFS($A$2:$A$801,A642,$E$2:$E$801,G642)+COUNTIFS($A$2:$A$801,A642,$G$2:$G$801,G642)&gt;1,"Team 2 listed twice this week",""))))))))</f>
        <v/>
      </c>
    </row>
    <row r="643">
      <c r="A643" s="11" t="n"/>
      <c r="B643" s="9">
        <f>IF(A643="","",IFERROR(INDEX(Lists!$G$2:$G$7,MATCH(A643,Lists!$F$2:$F$7,0)),"?"))</f>
        <v/>
      </c>
      <c r="C643" s="4" t="n"/>
      <c r="D643" s="4" t="n"/>
      <c r="E643" s="4" t="n"/>
      <c r="F643" s="11" t="n"/>
      <c r="G643" s="4" t="n"/>
      <c r="H643" s="11" t="n"/>
      <c r="I643" s="11" t="n"/>
      <c r="J643" s="9">
        <f>IF(OR(F643="",H643=""),"",IF(F643&gt;H643,E643,IF(H643&gt;F643,G643,"")))</f>
        <v/>
      </c>
      <c r="K643" s="4" t="n"/>
      <c r="L643" s="9">
        <f>IF(COUNTA(A643,C643,D643,E643,F643,G643,H643,I643)=0,"",IF(OR(A643="",C643="",E643="",G643=""),"Missing week/class/team",IF(AND(D643="",I643&lt;&gt;"Y"),"No chapter (forfeit?)",IF(AND(D643&lt;&gt;"",I643="Y"),"Forfeit has a chapter",IF(OR(F643="",H643=""),"Missing score",IF(F643=H643,"Tie score",IF(COUNTIFS($A$2:$A$801,A643,$E$2:$E$801,E643)+COUNTIFS($A$2:$A$801,A643,$G$2:$G$801,E643)&gt;1,"Team 1 listed twice this week",IF(COUNTIFS($A$2:$A$801,A643,$E$2:$E$801,G643)+COUNTIFS($A$2:$A$801,A643,$G$2:$G$801,G643)&gt;1,"Team 2 listed twice this week",""))))))))</f>
        <v/>
      </c>
    </row>
    <row r="644">
      <c r="A644" s="11" t="n"/>
      <c r="B644" s="9">
        <f>IF(A644="","",IFERROR(INDEX(Lists!$G$2:$G$7,MATCH(A644,Lists!$F$2:$F$7,0)),"?"))</f>
        <v/>
      </c>
      <c r="C644" s="4" t="n"/>
      <c r="D644" s="4" t="n"/>
      <c r="E644" s="4" t="n"/>
      <c r="F644" s="11" t="n"/>
      <c r="G644" s="4" t="n"/>
      <c r="H644" s="11" t="n"/>
      <c r="I644" s="11" t="n"/>
      <c r="J644" s="9">
        <f>IF(OR(F644="",H644=""),"",IF(F644&gt;H644,E644,IF(H644&gt;F644,G644,"")))</f>
        <v/>
      </c>
      <c r="K644" s="4" t="n"/>
      <c r="L644" s="9">
        <f>IF(COUNTA(A644,C644,D644,E644,F644,G644,H644,I644)=0,"",IF(OR(A644="",C644="",E644="",G644=""),"Missing week/class/team",IF(AND(D644="",I644&lt;&gt;"Y"),"No chapter (forfeit?)",IF(AND(D644&lt;&gt;"",I644="Y"),"Forfeit has a chapter",IF(OR(F644="",H644=""),"Missing score",IF(F644=H644,"Tie score",IF(COUNTIFS($A$2:$A$801,A644,$E$2:$E$801,E644)+COUNTIFS($A$2:$A$801,A644,$G$2:$G$801,E644)&gt;1,"Team 1 listed twice this week",IF(COUNTIFS($A$2:$A$801,A644,$E$2:$E$801,G644)+COUNTIFS($A$2:$A$801,A644,$G$2:$G$801,G644)&gt;1,"Team 2 listed twice this week",""))))))))</f>
        <v/>
      </c>
    </row>
    <row r="645">
      <c r="A645" s="11" t="n"/>
      <c r="B645" s="9">
        <f>IF(A645="","",IFERROR(INDEX(Lists!$G$2:$G$7,MATCH(A645,Lists!$F$2:$F$7,0)),"?"))</f>
        <v/>
      </c>
      <c r="C645" s="4" t="n"/>
      <c r="D645" s="4" t="n"/>
      <c r="E645" s="4" t="n"/>
      <c r="F645" s="11" t="n"/>
      <c r="G645" s="4" t="n"/>
      <c r="H645" s="11" t="n"/>
      <c r="I645" s="11" t="n"/>
      <c r="J645" s="9">
        <f>IF(OR(F645="",H645=""),"",IF(F645&gt;H645,E645,IF(H645&gt;F645,G645,"")))</f>
        <v/>
      </c>
      <c r="K645" s="4" t="n"/>
      <c r="L645" s="9">
        <f>IF(COUNTA(A645,C645,D645,E645,F645,G645,H645,I645)=0,"",IF(OR(A645="",C645="",E645="",G645=""),"Missing week/class/team",IF(AND(D645="",I645&lt;&gt;"Y"),"No chapter (forfeit?)",IF(AND(D645&lt;&gt;"",I645="Y"),"Forfeit has a chapter",IF(OR(F645="",H645=""),"Missing score",IF(F645=H645,"Tie score",IF(COUNTIFS($A$2:$A$801,A645,$E$2:$E$801,E645)+COUNTIFS($A$2:$A$801,A645,$G$2:$G$801,E645)&gt;1,"Team 1 listed twice this week",IF(COUNTIFS($A$2:$A$801,A645,$E$2:$E$801,G645)+COUNTIFS($A$2:$A$801,A645,$G$2:$G$801,G645)&gt;1,"Team 2 listed twice this week",""))))))))</f>
        <v/>
      </c>
    </row>
    <row r="646">
      <c r="A646" s="11" t="n"/>
      <c r="B646" s="9">
        <f>IF(A646="","",IFERROR(INDEX(Lists!$G$2:$G$7,MATCH(A646,Lists!$F$2:$F$7,0)),"?"))</f>
        <v/>
      </c>
      <c r="C646" s="4" t="n"/>
      <c r="D646" s="4" t="n"/>
      <c r="E646" s="4" t="n"/>
      <c r="F646" s="11" t="n"/>
      <c r="G646" s="4" t="n"/>
      <c r="H646" s="11" t="n"/>
      <c r="I646" s="11" t="n"/>
      <c r="J646" s="9">
        <f>IF(OR(F646="",H646=""),"",IF(F646&gt;H646,E646,IF(H646&gt;F646,G646,"")))</f>
        <v/>
      </c>
      <c r="K646" s="4" t="n"/>
      <c r="L646" s="9">
        <f>IF(COUNTA(A646,C646,D646,E646,F646,G646,H646,I646)=0,"",IF(OR(A646="",C646="",E646="",G646=""),"Missing week/class/team",IF(AND(D646="",I646&lt;&gt;"Y"),"No chapter (forfeit?)",IF(AND(D646&lt;&gt;"",I646="Y"),"Forfeit has a chapter",IF(OR(F646="",H646=""),"Missing score",IF(F646=H646,"Tie score",IF(COUNTIFS($A$2:$A$801,A646,$E$2:$E$801,E646)+COUNTIFS($A$2:$A$801,A646,$G$2:$G$801,E646)&gt;1,"Team 1 listed twice this week",IF(COUNTIFS($A$2:$A$801,A646,$E$2:$E$801,G646)+COUNTIFS($A$2:$A$801,A646,$G$2:$G$801,G646)&gt;1,"Team 2 listed twice this week",""))))))))</f>
        <v/>
      </c>
    </row>
    <row r="647">
      <c r="A647" s="11" t="n"/>
      <c r="B647" s="9">
        <f>IF(A647="","",IFERROR(INDEX(Lists!$G$2:$G$7,MATCH(A647,Lists!$F$2:$F$7,0)),"?"))</f>
        <v/>
      </c>
      <c r="C647" s="4" t="n"/>
      <c r="D647" s="4" t="n"/>
      <c r="E647" s="4" t="n"/>
      <c r="F647" s="11" t="n"/>
      <c r="G647" s="4" t="n"/>
      <c r="H647" s="11" t="n"/>
      <c r="I647" s="11" t="n"/>
      <c r="J647" s="9">
        <f>IF(OR(F647="",H647=""),"",IF(F647&gt;H647,E647,IF(H647&gt;F647,G647,"")))</f>
        <v/>
      </c>
      <c r="K647" s="4" t="n"/>
      <c r="L647" s="9">
        <f>IF(COUNTA(A647,C647,D647,E647,F647,G647,H647,I647)=0,"",IF(OR(A647="",C647="",E647="",G647=""),"Missing week/class/team",IF(AND(D647="",I647&lt;&gt;"Y"),"No chapter (forfeit?)",IF(AND(D647&lt;&gt;"",I647="Y"),"Forfeit has a chapter",IF(OR(F647="",H647=""),"Missing score",IF(F647=H647,"Tie score",IF(COUNTIFS($A$2:$A$801,A647,$E$2:$E$801,E647)+COUNTIFS($A$2:$A$801,A647,$G$2:$G$801,E647)&gt;1,"Team 1 listed twice this week",IF(COUNTIFS($A$2:$A$801,A647,$E$2:$E$801,G647)+COUNTIFS($A$2:$A$801,A647,$G$2:$G$801,G647)&gt;1,"Team 2 listed twice this week",""))))))))</f>
        <v/>
      </c>
    </row>
    <row r="648">
      <c r="A648" s="11" t="n"/>
      <c r="B648" s="9">
        <f>IF(A648="","",IFERROR(INDEX(Lists!$G$2:$G$7,MATCH(A648,Lists!$F$2:$F$7,0)),"?"))</f>
        <v/>
      </c>
      <c r="C648" s="4" t="n"/>
      <c r="D648" s="4" t="n"/>
      <c r="E648" s="4" t="n"/>
      <c r="F648" s="11" t="n"/>
      <c r="G648" s="4" t="n"/>
      <c r="H648" s="11" t="n"/>
      <c r="I648" s="11" t="n"/>
      <c r="J648" s="9">
        <f>IF(OR(F648="",H648=""),"",IF(F648&gt;H648,E648,IF(H648&gt;F648,G648,"")))</f>
        <v/>
      </c>
      <c r="K648" s="4" t="n"/>
      <c r="L648" s="9">
        <f>IF(COUNTA(A648,C648,D648,E648,F648,G648,H648,I648)=0,"",IF(OR(A648="",C648="",E648="",G648=""),"Missing week/class/team",IF(AND(D648="",I648&lt;&gt;"Y"),"No chapter (forfeit?)",IF(AND(D648&lt;&gt;"",I648="Y"),"Forfeit has a chapter",IF(OR(F648="",H648=""),"Missing score",IF(F648=H648,"Tie score",IF(COUNTIFS($A$2:$A$801,A648,$E$2:$E$801,E648)+COUNTIFS($A$2:$A$801,A648,$G$2:$G$801,E648)&gt;1,"Team 1 listed twice this week",IF(COUNTIFS($A$2:$A$801,A648,$E$2:$E$801,G648)+COUNTIFS($A$2:$A$801,A648,$G$2:$G$801,G648)&gt;1,"Team 2 listed twice this week",""))))))))</f>
        <v/>
      </c>
    </row>
    <row r="649">
      <c r="A649" s="11" t="n"/>
      <c r="B649" s="9">
        <f>IF(A649="","",IFERROR(INDEX(Lists!$G$2:$G$7,MATCH(A649,Lists!$F$2:$F$7,0)),"?"))</f>
        <v/>
      </c>
      <c r="C649" s="4" t="n"/>
      <c r="D649" s="4" t="n"/>
      <c r="E649" s="4" t="n"/>
      <c r="F649" s="11" t="n"/>
      <c r="G649" s="4" t="n"/>
      <c r="H649" s="11" t="n"/>
      <c r="I649" s="11" t="n"/>
      <c r="J649" s="9">
        <f>IF(OR(F649="",H649=""),"",IF(F649&gt;H649,E649,IF(H649&gt;F649,G649,"")))</f>
        <v/>
      </c>
      <c r="K649" s="4" t="n"/>
      <c r="L649" s="9">
        <f>IF(COUNTA(A649,C649,D649,E649,F649,G649,H649,I649)=0,"",IF(OR(A649="",C649="",E649="",G649=""),"Missing week/class/team",IF(AND(D649="",I649&lt;&gt;"Y"),"No chapter (forfeit?)",IF(AND(D649&lt;&gt;"",I649="Y"),"Forfeit has a chapter",IF(OR(F649="",H649=""),"Missing score",IF(F649=H649,"Tie score",IF(COUNTIFS($A$2:$A$801,A649,$E$2:$E$801,E649)+COUNTIFS($A$2:$A$801,A649,$G$2:$G$801,E649)&gt;1,"Team 1 listed twice this week",IF(COUNTIFS($A$2:$A$801,A649,$E$2:$E$801,G649)+COUNTIFS($A$2:$A$801,A649,$G$2:$G$801,G649)&gt;1,"Team 2 listed twice this week",""))))))))</f>
        <v/>
      </c>
    </row>
    <row r="650">
      <c r="A650" s="11" t="n"/>
      <c r="B650" s="9">
        <f>IF(A650="","",IFERROR(INDEX(Lists!$G$2:$G$7,MATCH(A650,Lists!$F$2:$F$7,0)),"?"))</f>
        <v/>
      </c>
      <c r="C650" s="4" t="n"/>
      <c r="D650" s="4" t="n"/>
      <c r="E650" s="4" t="n"/>
      <c r="F650" s="11" t="n"/>
      <c r="G650" s="4" t="n"/>
      <c r="H650" s="11" t="n"/>
      <c r="I650" s="11" t="n"/>
      <c r="J650" s="9">
        <f>IF(OR(F650="",H650=""),"",IF(F650&gt;H650,E650,IF(H650&gt;F650,G650,"")))</f>
        <v/>
      </c>
      <c r="K650" s="4" t="n"/>
      <c r="L650" s="9">
        <f>IF(COUNTA(A650,C650,D650,E650,F650,G650,H650,I650)=0,"",IF(OR(A650="",C650="",E650="",G650=""),"Missing week/class/team",IF(AND(D650="",I650&lt;&gt;"Y"),"No chapter (forfeit?)",IF(AND(D650&lt;&gt;"",I650="Y"),"Forfeit has a chapter",IF(OR(F650="",H650=""),"Missing score",IF(F650=H650,"Tie score",IF(COUNTIFS($A$2:$A$801,A650,$E$2:$E$801,E650)+COUNTIFS($A$2:$A$801,A650,$G$2:$G$801,E650)&gt;1,"Team 1 listed twice this week",IF(COUNTIFS($A$2:$A$801,A650,$E$2:$E$801,G650)+COUNTIFS($A$2:$A$801,A650,$G$2:$G$801,G650)&gt;1,"Team 2 listed twice this week",""))))))))</f>
        <v/>
      </c>
    </row>
    <row r="651">
      <c r="A651" s="11" t="n"/>
      <c r="B651" s="9">
        <f>IF(A651="","",IFERROR(INDEX(Lists!$G$2:$G$7,MATCH(A651,Lists!$F$2:$F$7,0)),"?"))</f>
        <v/>
      </c>
      <c r="C651" s="4" t="n"/>
      <c r="D651" s="4" t="n"/>
      <c r="E651" s="4" t="n"/>
      <c r="F651" s="11" t="n"/>
      <c r="G651" s="4" t="n"/>
      <c r="H651" s="11" t="n"/>
      <c r="I651" s="11" t="n"/>
      <c r="J651" s="9">
        <f>IF(OR(F651="",H651=""),"",IF(F651&gt;H651,E651,IF(H651&gt;F651,G651,"")))</f>
        <v/>
      </c>
      <c r="K651" s="4" t="n"/>
      <c r="L651" s="9">
        <f>IF(COUNTA(A651,C651,D651,E651,F651,G651,H651,I651)=0,"",IF(OR(A651="",C651="",E651="",G651=""),"Missing week/class/team",IF(AND(D651="",I651&lt;&gt;"Y"),"No chapter (forfeit?)",IF(AND(D651&lt;&gt;"",I651="Y"),"Forfeit has a chapter",IF(OR(F651="",H651=""),"Missing score",IF(F651=H651,"Tie score",IF(COUNTIFS($A$2:$A$801,A651,$E$2:$E$801,E651)+COUNTIFS($A$2:$A$801,A651,$G$2:$G$801,E651)&gt;1,"Team 1 listed twice this week",IF(COUNTIFS($A$2:$A$801,A651,$E$2:$E$801,G651)+COUNTIFS($A$2:$A$801,A651,$G$2:$G$801,G651)&gt;1,"Team 2 listed twice this week",""))))))))</f>
        <v/>
      </c>
    </row>
    <row r="652">
      <c r="A652" s="11" t="n"/>
      <c r="B652" s="9">
        <f>IF(A652="","",IFERROR(INDEX(Lists!$G$2:$G$7,MATCH(A652,Lists!$F$2:$F$7,0)),"?"))</f>
        <v/>
      </c>
      <c r="C652" s="4" t="n"/>
      <c r="D652" s="4" t="n"/>
      <c r="E652" s="4" t="n"/>
      <c r="F652" s="11" t="n"/>
      <c r="G652" s="4" t="n"/>
      <c r="H652" s="11" t="n"/>
      <c r="I652" s="11" t="n"/>
      <c r="J652" s="9">
        <f>IF(OR(F652="",H652=""),"",IF(F652&gt;H652,E652,IF(H652&gt;F652,G652,"")))</f>
        <v/>
      </c>
      <c r="K652" s="4" t="n"/>
      <c r="L652" s="9">
        <f>IF(COUNTA(A652,C652,D652,E652,F652,G652,H652,I652)=0,"",IF(OR(A652="",C652="",E652="",G652=""),"Missing week/class/team",IF(AND(D652="",I652&lt;&gt;"Y"),"No chapter (forfeit?)",IF(AND(D652&lt;&gt;"",I652="Y"),"Forfeit has a chapter",IF(OR(F652="",H652=""),"Missing score",IF(F652=H652,"Tie score",IF(COUNTIFS($A$2:$A$801,A652,$E$2:$E$801,E652)+COUNTIFS($A$2:$A$801,A652,$G$2:$G$801,E652)&gt;1,"Team 1 listed twice this week",IF(COUNTIFS($A$2:$A$801,A652,$E$2:$E$801,G652)+COUNTIFS($A$2:$A$801,A652,$G$2:$G$801,G652)&gt;1,"Team 2 listed twice this week",""))))))))</f>
        <v/>
      </c>
    </row>
    <row r="653">
      <c r="A653" s="11" t="n"/>
      <c r="B653" s="9">
        <f>IF(A653="","",IFERROR(INDEX(Lists!$G$2:$G$7,MATCH(A653,Lists!$F$2:$F$7,0)),"?"))</f>
        <v/>
      </c>
      <c r="C653" s="4" t="n"/>
      <c r="D653" s="4" t="n"/>
      <c r="E653" s="4" t="n"/>
      <c r="F653" s="11" t="n"/>
      <c r="G653" s="4" t="n"/>
      <c r="H653" s="11" t="n"/>
      <c r="I653" s="11" t="n"/>
      <c r="J653" s="9">
        <f>IF(OR(F653="",H653=""),"",IF(F653&gt;H653,E653,IF(H653&gt;F653,G653,"")))</f>
        <v/>
      </c>
      <c r="K653" s="4" t="n"/>
      <c r="L653" s="9">
        <f>IF(COUNTA(A653,C653,D653,E653,F653,G653,H653,I653)=0,"",IF(OR(A653="",C653="",E653="",G653=""),"Missing week/class/team",IF(AND(D653="",I653&lt;&gt;"Y"),"No chapter (forfeit?)",IF(AND(D653&lt;&gt;"",I653="Y"),"Forfeit has a chapter",IF(OR(F653="",H653=""),"Missing score",IF(F653=H653,"Tie score",IF(COUNTIFS($A$2:$A$801,A653,$E$2:$E$801,E653)+COUNTIFS($A$2:$A$801,A653,$G$2:$G$801,E653)&gt;1,"Team 1 listed twice this week",IF(COUNTIFS($A$2:$A$801,A653,$E$2:$E$801,G653)+COUNTIFS($A$2:$A$801,A653,$G$2:$G$801,G653)&gt;1,"Team 2 listed twice this week",""))))))))</f>
        <v/>
      </c>
    </row>
    <row r="654">
      <c r="A654" s="11" t="n"/>
      <c r="B654" s="9">
        <f>IF(A654="","",IFERROR(INDEX(Lists!$G$2:$G$7,MATCH(A654,Lists!$F$2:$F$7,0)),"?"))</f>
        <v/>
      </c>
      <c r="C654" s="4" t="n"/>
      <c r="D654" s="4" t="n"/>
      <c r="E654" s="4" t="n"/>
      <c r="F654" s="11" t="n"/>
      <c r="G654" s="4" t="n"/>
      <c r="H654" s="11" t="n"/>
      <c r="I654" s="11" t="n"/>
      <c r="J654" s="9">
        <f>IF(OR(F654="",H654=""),"",IF(F654&gt;H654,E654,IF(H654&gt;F654,G654,"")))</f>
        <v/>
      </c>
      <c r="K654" s="4" t="n"/>
      <c r="L654" s="9">
        <f>IF(COUNTA(A654,C654,D654,E654,F654,G654,H654,I654)=0,"",IF(OR(A654="",C654="",E654="",G654=""),"Missing week/class/team",IF(AND(D654="",I654&lt;&gt;"Y"),"No chapter (forfeit?)",IF(AND(D654&lt;&gt;"",I654="Y"),"Forfeit has a chapter",IF(OR(F654="",H654=""),"Missing score",IF(F654=H654,"Tie score",IF(COUNTIFS($A$2:$A$801,A654,$E$2:$E$801,E654)+COUNTIFS($A$2:$A$801,A654,$G$2:$G$801,E654)&gt;1,"Team 1 listed twice this week",IF(COUNTIFS($A$2:$A$801,A654,$E$2:$E$801,G654)+COUNTIFS($A$2:$A$801,A654,$G$2:$G$801,G654)&gt;1,"Team 2 listed twice this week",""))))))))</f>
        <v/>
      </c>
    </row>
    <row r="655">
      <c r="A655" s="11" t="n"/>
      <c r="B655" s="9">
        <f>IF(A655="","",IFERROR(INDEX(Lists!$G$2:$G$7,MATCH(A655,Lists!$F$2:$F$7,0)),"?"))</f>
        <v/>
      </c>
      <c r="C655" s="4" t="n"/>
      <c r="D655" s="4" t="n"/>
      <c r="E655" s="4" t="n"/>
      <c r="F655" s="11" t="n"/>
      <c r="G655" s="4" t="n"/>
      <c r="H655" s="11" t="n"/>
      <c r="I655" s="11" t="n"/>
      <c r="J655" s="9">
        <f>IF(OR(F655="",H655=""),"",IF(F655&gt;H655,E655,IF(H655&gt;F655,G655,"")))</f>
        <v/>
      </c>
      <c r="K655" s="4" t="n"/>
      <c r="L655" s="9">
        <f>IF(COUNTA(A655,C655,D655,E655,F655,G655,H655,I655)=0,"",IF(OR(A655="",C655="",E655="",G655=""),"Missing week/class/team",IF(AND(D655="",I655&lt;&gt;"Y"),"No chapter (forfeit?)",IF(AND(D655&lt;&gt;"",I655="Y"),"Forfeit has a chapter",IF(OR(F655="",H655=""),"Missing score",IF(F655=H655,"Tie score",IF(COUNTIFS($A$2:$A$801,A655,$E$2:$E$801,E655)+COUNTIFS($A$2:$A$801,A655,$G$2:$G$801,E655)&gt;1,"Team 1 listed twice this week",IF(COUNTIFS($A$2:$A$801,A655,$E$2:$E$801,G655)+COUNTIFS($A$2:$A$801,A655,$G$2:$G$801,G655)&gt;1,"Team 2 listed twice this week",""))))))))</f>
        <v/>
      </c>
    </row>
    <row r="656">
      <c r="A656" s="11" t="n"/>
      <c r="B656" s="9">
        <f>IF(A656="","",IFERROR(INDEX(Lists!$G$2:$G$7,MATCH(A656,Lists!$F$2:$F$7,0)),"?"))</f>
        <v/>
      </c>
      <c r="C656" s="4" t="n"/>
      <c r="D656" s="4" t="n"/>
      <c r="E656" s="4" t="n"/>
      <c r="F656" s="11" t="n"/>
      <c r="G656" s="4" t="n"/>
      <c r="H656" s="11" t="n"/>
      <c r="I656" s="11" t="n"/>
      <c r="J656" s="9">
        <f>IF(OR(F656="",H656=""),"",IF(F656&gt;H656,E656,IF(H656&gt;F656,G656,"")))</f>
        <v/>
      </c>
      <c r="K656" s="4" t="n"/>
      <c r="L656" s="9">
        <f>IF(COUNTA(A656,C656,D656,E656,F656,G656,H656,I656)=0,"",IF(OR(A656="",C656="",E656="",G656=""),"Missing week/class/team",IF(AND(D656="",I656&lt;&gt;"Y"),"No chapter (forfeit?)",IF(AND(D656&lt;&gt;"",I656="Y"),"Forfeit has a chapter",IF(OR(F656="",H656=""),"Missing score",IF(F656=H656,"Tie score",IF(COUNTIFS($A$2:$A$801,A656,$E$2:$E$801,E656)+COUNTIFS($A$2:$A$801,A656,$G$2:$G$801,E656)&gt;1,"Team 1 listed twice this week",IF(COUNTIFS($A$2:$A$801,A656,$E$2:$E$801,G656)+COUNTIFS($A$2:$A$801,A656,$G$2:$G$801,G656)&gt;1,"Team 2 listed twice this week",""))))))))</f>
        <v/>
      </c>
    </row>
    <row r="657">
      <c r="A657" s="11" t="n"/>
      <c r="B657" s="9">
        <f>IF(A657="","",IFERROR(INDEX(Lists!$G$2:$G$7,MATCH(A657,Lists!$F$2:$F$7,0)),"?"))</f>
        <v/>
      </c>
      <c r="C657" s="4" t="n"/>
      <c r="D657" s="4" t="n"/>
      <c r="E657" s="4" t="n"/>
      <c r="F657" s="11" t="n"/>
      <c r="G657" s="4" t="n"/>
      <c r="H657" s="11" t="n"/>
      <c r="I657" s="11" t="n"/>
      <c r="J657" s="9">
        <f>IF(OR(F657="",H657=""),"",IF(F657&gt;H657,E657,IF(H657&gt;F657,G657,"")))</f>
        <v/>
      </c>
      <c r="K657" s="4" t="n"/>
      <c r="L657" s="9">
        <f>IF(COUNTA(A657,C657,D657,E657,F657,G657,H657,I657)=0,"",IF(OR(A657="",C657="",E657="",G657=""),"Missing week/class/team",IF(AND(D657="",I657&lt;&gt;"Y"),"No chapter (forfeit?)",IF(AND(D657&lt;&gt;"",I657="Y"),"Forfeit has a chapter",IF(OR(F657="",H657=""),"Missing score",IF(F657=H657,"Tie score",IF(COUNTIFS($A$2:$A$801,A657,$E$2:$E$801,E657)+COUNTIFS($A$2:$A$801,A657,$G$2:$G$801,E657)&gt;1,"Team 1 listed twice this week",IF(COUNTIFS($A$2:$A$801,A657,$E$2:$E$801,G657)+COUNTIFS($A$2:$A$801,A657,$G$2:$G$801,G657)&gt;1,"Team 2 listed twice this week",""))))))))</f>
        <v/>
      </c>
    </row>
    <row r="658">
      <c r="A658" s="11" t="n"/>
      <c r="B658" s="9">
        <f>IF(A658="","",IFERROR(INDEX(Lists!$G$2:$G$7,MATCH(A658,Lists!$F$2:$F$7,0)),"?"))</f>
        <v/>
      </c>
      <c r="C658" s="4" t="n"/>
      <c r="D658" s="4" t="n"/>
      <c r="E658" s="4" t="n"/>
      <c r="F658" s="11" t="n"/>
      <c r="G658" s="4" t="n"/>
      <c r="H658" s="11" t="n"/>
      <c r="I658" s="11" t="n"/>
      <c r="J658" s="9">
        <f>IF(OR(F658="",H658=""),"",IF(F658&gt;H658,E658,IF(H658&gt;F658,G658,"")))</f>
        <v/>
      </c>
      <c r="K658" s="4" t="n"/>
      <c r="L658" s="9">
        <f>IF(COUNTA(A658,C658,D658,E658,F658,G658,H658,I658)=0,"",IF(OR(A658="",C658="",E658="",G658=""),"Missing week/class/team",IF(AND(D658="",I658&lt;&gt;"Y"),"No chapter (forfeit?)",IF(AND(D658&lt;&gt;"",I658="Y"),"Forfeit has a chapter",IF(OR(F658="",H658=""),"Missing score",IF(F658=H658,"Tie score",IF(COUNTIFS($A$2:$A$801,A658,$E$2:$E$801,E658)+COUNTIFS($A$2:$A$801,A658,$G$2:$G$801,E658)&gt;1,"Team 1 listed twice this week",IF(COUNTIFS($A$2:$A$801,A658,$E$2:$E$801,G658)+COUNTIFS($A$2:$A$801,A658,$G$2:$G$801,G658)&gt;1,"Team 2 listed twice this week",""))))))))</f>
        <v/>
      </c>
    </row>
    <row r="659">
      <c r="A659" s="11" t="n"/>
      <c r="B659" s="9">
        <f>IF(A659="","",IFERROR(INDEX(Lists!$G$2:$G$7,MATCH(A659,Lists!$F$2:$F$7,0)),"?"))</f>
        <v/>
      </c>
      <c r="C659" s="4" t="n"/>
      <c r="D659" s="4" t="n"/>
      <c r="E659" s="4" t="n"/>
      <c r="F659" s="11" t="n"/>
      <c r="G659" s="4" t="n"/>
      <c r="H659" s="11" t="n"/>
      <c r="I659" s="11" t="n"/>
      <c r="J659" s="9">
        <f>IF(OR(F659="",H659=""),"",IF(F659&gt;H659,E659,IF(H659&gt;F659,G659,"")))</f>
        <v/>
      </c>
      <c r="K659" s="4" t="n"/>
      <c r="L659" s="9">
        <f>IF(COUNTA(A659,C659,D659,E659,F659,G659,H659,I659)=0,"",IF(OR(A659="",C659="",E659="",G659=""),"Missing week/class/team",IF(AND(D659="",I659&lt;&gt;"Y"),"No chapter (forfeit?)",IF(AND(D659&lt;&gt;"",I659="Y"),"Forfeit has a chapter",IF(OR(F659="",H659=""),"Missing score",IF(F659=H659,"Tie score",IF(COUNTIFS($A$2:$A$801,A659,$E$2:$E$801,E659)+COUNTIFS($A$2:$A$801,A659,$G$2:$G$801,E659)&gt;1,"Team 1 listed twice this week",IF(COUNTIFS($A$2:$A$801,A659,$E$2:$E$801,G659)+COUNTIFS($A$2:$A$801,A659,$G$2:$G$801,G659)&gt;1,"Team 2 listed twice this week",""))))))))</f>
        <v/>
      </c>
    </row>
    <row r="660">
      <c r="A660" s="11" t="n"/>
      <c r="B660" s="9">
        <f>IF(A660="","",IFERROR(INDEX(Lists!$G$2:$G$7,MATCH(A660,Lists!$F$2:$F$7,0)),"?"))</f>
        <v/>
      </c>
      <c r="C660" s="4" t="n"/>
      <c r="D660" s="4" t="n"/>
      <c r="E660" s="4" t="n"/>
      <c r="F660" s="11" t="n"/>
      <c r="G660" s="4" t="n"/>
      <c r="H660" s="11" t="n"/>
      <c r="I660" s="11" t="n"/>
      <c r="J660" s="9">
        <f>IF(OR(F660="",H660=""),"",IF(F660&gt;H660,E660,IF(H660&gt;F660,G660,"")))</f>
        <v/>
      </c>
      <c r="K660" s="4" t="n"/>
      <c r="L660" s="9">
        <f>IF(COUNTA(A660,C660,D660,E660,F660,G660,H660,I660)=0,"",IF(OR(A660="",C660="",E660="",G660=""),"Missing week/class/team",IF(AND(D660="",I660&lt;&gt;"Y"),"No chapter (forfeit?)",IF(AND(D660&lt;&gt;"",I660="Y"),"Forfeit has a chapter",IF(OR(F660="",H660=""),"Missing score",IF(F660=H660,"Tie score",IF(COUNTIFS($A$2:$A$801,A660,$E$2:$E$801,E660)+COUNTIFS($A$2:$A$801,A660,$G$2:$G$801,E660)&gt;1,"Team 1 listed twice this week",IF(COUNTIFS($A$2:$A$801,A660,$E$2:$E$801,G660)+COUNTIFS($A$2:$A$801,A660,$G$2:$G$801,G660)&gt;1,"Team 2 listed twice this week",""))))))))</f>
        <v/>
      </c>
    </row>
    <row r="661">
      <c r="A661" s="11" t="n"/>
      <c r="B661" s="9">
        <f>IF(A661="","",IFERROR(INDEX(Lists!$G$2:$G$7,MATCH(A661,Lists!$F$2:$F$7,0)),"?"))</f>
        <v/>
      </c>
      <c r="C661" s="4" t="n"/>
      <c r="D661" s="4" t="n"/>
      <c r="E661" s="4" t="n"/>
      <c r="F661" s="11" t="n"/>
      <c r="G661" s="4" t="n"/>
      <c r="H661" s="11" t="n"/>
      <c r="I661" s="11" t="n"/>
      <c r="J661" s="9">
        <f>IF(OR(F661="",H661=""),"",IF(F661&gt;H661,E661,IF(H661&gt;F661,G661,"")))</f>
        <v/>
      </c>
      <c r="K661" s="4" t="n"/>
      <c r="L661" s="9">
        <f>IF(COUNTA(A661,C661,D661,E661,F661,G661,H661,I661)=0,"",IF(OR(A661="",C661="",E661="",G661=""),"Missing week/class/team",IF(AND(D661="",I661&lt;&gt;"Y"),"No chapter (forfeit?)",IF(AND(D661&lt;&gt;"",I661="Y"),"Forfeit has a chapter",IF(OR(F661="",H661=""),"Missing score",IF(F661=H661,"Tie score",IF(COUNTIFS($A$2:$A$801,A661,$E$2:$E$801,E661)+COUNTIFS($A$2:$A$801,A661,$G$2:$G$801,E661)&gt;1,"Team 1 listed twice this week",IF(COUNTIFS($A$2:$A$801,A661,$E$2:$E$801,G661)+COUNTIFS($A$2:$A$801,A661,$G$2:$G$801,G661)&gt;1,"Team 2 listed twice this week",""))))))))</f>
        <v/>
      </c>
    </row>
    <row r="662">
      <c r="A662" s="11" t="n"/>
      <c r="B662" s="9">
        <f>IF(A662="","",IFERROR(INDEX(Lists!$G$2:$G$7,MATCH(A662,Lists!$F$2:$F$7,0)),"?"))</f>
        <v/>
      </c>
      <c r="C662" s="4" t="n"/>
      <c r="D662" s="4" t="n"/>
      <c r="E662" s="4" t="n"/>
      <c r="F662" s="11" t="n"/>
      <c r="G662" s="4" t="n"/>
      <c r="H662" s="11" t="n"/>
      <c r="I662" s="11" t="n"/>
      <c r="J662" s="9">
        <f>IF(OR(F662="",H662=""),"",IF(F662&gt;H662,E662,IF(H662&gt;F662,G662,"")))</f>
        <v/>
      </c>
      <c r="K662" s="4" t="n"/>
      <c r="L662" s="9">
        <f>IF(COUNTA(A662,C662,D662,E662,F662,G662,H662,I662)=0,"",IF(OR(A662="",C662="",E662="",G662=""),"Missing week/class/team",IF(AND(D662="",I662&lt;&gt;"Y"),"No chapter (forfeit?)",IF(AND(D662&lt;&gt;"",I662="Y"),"Forfeit has a chapter",IF(OR(F662="",H662=""),"Missing score",IF(F662=H662,"Tie score",IF(COUNTIFS($A$2:$A$801,A662,$E$2:$E$801,E662)+COUNTIFS($A$2:$A$801,A662,$G$2:$G$801,E662)&gt;1,"Team 1 listed twice this week",IF(COUNTIFS($A$2:$A$801,A662,$E$2:$E$801,G662)+COUNTIFS($A$2:$A$801,A662,$G$2:$G$801,G662)&gt;1,"Team 2 listed twice this week",""))))))))</f>
        <v/>
      </c>
    </row>
    <row r="663">
      <c r="A663" s="11" t="n"/>
      <c r="B663" s="9">
        <f>IF(A663="","",IFERROR(INDEX(Lists!$G$2:$G$7,MATCH(A663,Lists!$F$2:$F$7,0)),"?"))</f>
        <v/>
      </c>
      <c r="C663" s="4" t="n"/>
      <c r="D663" s="4" t="n"/>
      <c r="E663" s="4" t="n"/>
      <c r="F663" s="11" t="n"/>
      <c r="G663" s="4" t="n"/>
      <c r="H663" s="11" t="n"/>
      <c r="I663" s="11" t="n"/>
      <c r="J663" s="9">
        <f>IF(OR(F663="",H663=""),"",IF(F663&gt;H663,E663,IF(H663&gt;F663,G663,"")))</f>
        <v/>
      </c>
      <c r="K663" s="4" t="n"/>
      <c r="L663" s="9">
        <f>IF(COUNTA(A663,C663,D663,E663,F663,G663,H663,I663)=0,"",IF(OR(A663="",C663="",E663="",G663=""),"Missing week/class/team",IF(AND(D663="",I663&lt;&gt;"Y"),"No chapter (forfeit?)",IF(AND(D663&lt;&gt;"",I663="Y"),"Forfeit has a chapter",IF(OR(F663="",H663=""),"Missing score",IF(F663=H663,"Tie score",IF(COUNTIFS($A$2:$A$801,A663,$E$2:$E$801,E663)+COUNTIFS($A$2:$A$801,A663,$G$2:$G$801,E663)&gt;1,"Team 1 listed twice this week",IF(COUNTIFS($A$2:$A$801,A663,$E$2:$E$801,G663)+COUNTIFS($A$2:$A$801,A663,$G$2:$G$801,G663)&gt;1,"Team 2 listed twice this week",""))))))))</f>
        <v/>
      </c>
    </row>
    <row r="664">
      <c r="A664" s="11" t="n"/>
      <c r="B664" s="9">
        <f>IF(A664="","",IFERROR(INDEX(Lists!$G$2:$G$7,MATCH(A664,Lists!$F$2:$F$7,0)),"?"))</f>
        <v/>
      </c>
      <c r="C664" s="4" t="n"/>
      <c r="D664" s="4" t="n"/>
      <c r="E664" s="4" t="n"/>
      <c r="F664" s="11" t="n"/>
      <c r="G664" s="4" t="n"/>
      <c r="H664" s="11" t="n"/>
      <c r="I664" s="11" t="n"/>
      <c r="J664" s="9">
        <f>IF(OR(F664="",H664=""),"",IF(F664&gt;H664,E664,IF(H664&gt;F664,G664,"")))</f>
        <v/>
      </c>
      <c r="K664" s="4" t="n"/>
      <c r="L664" s="9">
        <f>IF(COUNTA(A664,C664,D664,E664,F664,G664,H664,I664)=0,"",IF(OR(A664="",C664="",E664="",G664=""),"Missing week/class/team",IF(AND(D664="",I664&lt;&gt;"Y"),"No chapter (forfeit?)",IF(AND(D664&lt;&gt;"",I664="Y"),"Forfeit has a chapter",IF(OR(F664="",H664=""),"Missing score",IF(F664=H664,"Tie score",IF(COUNTIFS($A$2:$A$801,A664,$E$2:$E$801,E664)+COUNTIFS($A$2:$A$801,A664,$G$2:$G$801,E664)&gt;1,"Team 1 listed twice this week",IF(COUNTIFS($A$2:$A$801,A664,$E$2:$E$801,G664)+COUNTIFS($A$2:$A$801,A664,$G$2:$G$801,G664)&gt;1,"Team 2 listed twice this week",""))))))))</f>
        <v/>
      </c>
    </row>
    <row r="665">
      <c r="A665" s="11" t="n"/>
      <c r="B665" s="9">
        <f>IF(A665="","",IFERROR(INDEX(Lists!$G$2:$G$7,MATCH(A665,Lists!$F$2:$F$7,0)),"?"))</f>
        <v/>
      </c>
      <c r="C665" s="4" t="n"/>
      <c r="D665" s="4" t="n"/>
      <c r="E665" s="4" t="n"/>
      <c r="F665" s="11" t="n"/>
      <c r="G665" s="4" t="n"/>
      <c r="H665" s="11" t="n"/>
      <c r="I665" s="11" t="n"/>
      <c r="J665" s="9">
        <f>IF(OR(F665="",H665=""),"",IF(F665&gt;H665,E665,IF(H665&gt;F665,G665,"")))</f>
        <v/>
      </c>
      <c r="K665" s="4" t="n"/>
      <c r="L665" s="9">
        <f>IF(COUNTA(A665,C665,D665,E665,F665,G665,H665,I665)=0,"",IF(OR(A665="",C665="",E665="",G665=""),"Missing week/class/team",IF(AND(D665="",I665&lt;&gt;"Y"),"No chapter (forfeit?)",IF(AND(D665&lt;&gt;"",I665="Y"),"Forfeit has a chapter",IF(OR(F665="",H665=""),"Missing score",IF(F665=H665,"Tie score",IF(COUNTIFS($A$2:$A$801,A665,$E$2:$E$801,E665)+COUNTIFS($A$2:$A$801,A665,$G$2:$G$801,E665)&gt;1,"Team 1 listed twice this week",IF(COUNTIFS($A$2:$A$801,A665,$E$2:$E$801,G665)+COUNTIFS($A$2:$A$801,A665,$G$2:$G$801,G665)&gt;1,"Team 2 listed twice this week",""))))))))</f>
        <v/>
      </c>
    </row>
    <row r="666">
      <c r="A666" s="11" t="n"/>
      <c r="B666" s="9">
        <f>IF(A666="","",IFERROR(INDEX(Lists!$G$2:$G$7,MATCH(A666,Lists!$F$2:$F$7,0)),"?"))</f>
        <v/>
      </c>
      <c r="C666" s="4" t="n"/>
      <c r="D666" s="4" t="n"/>
      <c r="E666" s="4" t="n"/>
      <c r="F666" s="11" t="n"/>
      <c r="G666" s="4" t="n"/>
      <c r="H666" s="11" t="n"/>
      <c r="I666" s="11" t="n"/>
      <c r="J666" s="9">
        <f>IF(OR(F666="",H666=""),"",IF(F666&gt;H666,E666,IF(H666&gt;F666,G666,"")))</f>
        <v/>
      </c>
      <c r="K666" s="4" t="n"/>
      <c r="L666" s="9">
        <f>IF(COUNTA(A666,C666,D666,E666,F666,G666,H666,I666)=0,"",IF(OR(A666="",C666="",E666="",G666=""),"Missing week/class/team",IF(AND(D666="",I666&lt;&gt;"Y"),"No chapter (forfeit?)",IF(AND(D666&lt;&gt;"",I666="Y"),"Forfeit has a chapter",IF(OR(F666="",H666=""),"Missing score",IF(F666=H666,"Tie score",IF(COUNTIFS($A$2:$A$801,A666,$E$2:$E$801,E666)+COUNTIFS($A$2:$A$801,A666,$G$2:$G$801,E666)&gt;1,"Team 1 listed twice this week",IF(COUNTIFS($A$2:$A$801,A666,$E$2:$E$801,G666)+COUNTIFS($A$2:$A$801,A666,$G$2:$G$801,G666)&gt;1,"Team 2 listed twice this week",""))))))))</f>
        <v/>
      </c>
    </row>
    <row r="667">
      <c r="A667" s="11" t="n"/>
      <c r="B667" s="9">
        <f>IF(A667="","",IFERROR(INDEX(Lists!$G$2:$G$7,MATCH(A667,Lists!$F$2:$F$7,0)),"?"))</f>
        <v/>
      </c>
      <c r="C667" s="4" t="n"/>
      <c r="D667" s="4" t="n"/>
      <c r="E667" s="4" t="n"/>
      <c r="F667" s="11" t="n"/>
      <c r="G667" s="4" t="n"/>
      <c r="H667" s="11" t="n"/>
      <c r="I667" s="11" t="n"/>
      <c r="J667" s="9">
        <f>IF(OR(F667="",H667=""),"",IF(F667&gt;H667,E667,IF(H667&gt;F667,G667,"")))</f>
        <v/>
      </c>
      <c r="K667" s="4" t="n"/>
      <c r="L667" s="9">
        <f>IF(COUNTA(A667,C667,D667,E667,F667,G667,H667,I667)=0,"",IF(OR(A667="",C667="",E667="",G667=""),"Missing week/class/team",IF(AND(D667="",I667&lt;&gt;"Y"),"No chapter (forfeit?)",IF(AND(D667&lt;&gt;"",I667="Y"),"Forfeit has a chapter",IF(OR(F667="",H667=""),"Missing score",IF(F667=H667,"Tie score",IF(COUNTIFS($A$2:$A$801,A667,$E$2:$E$801,E667)+COUNTIFS($A$2:$A$801,A667,$G$2:$G$801,E667)&gt;1,"Team 1 listed twice this week",IF(COUNTIFS($A$2:$A$801,A667,$E$2:$E$801,G667)+COUNTIFS($A$2:$A$801,A667,$G$2:$G$801,G667)&gt;1,"Team 2 listed twice this week",""))))))))</f>
        <v/>
      </c>
    </row>
    <row r="668">
      <c r="A668" s="11" t="n"/>
      <c r="B668" s="9">
        <f>IF(A668="","",IFERROR(INDEX(Lists!$G$2:$G$7,MATCH(A668,Lists!$F$2:$F$7,0)),"?"))</f>
        <v/>
      </c>
      <c r="C668" s="4" t="n"/>
      <c r="D668" s="4" t="n"/>
      <c r="E668" s="4" t="n"/>
      <c r="F668" s="11" t="n"/>
      <c r="G668" s="4" t="n"/>
      <c r="H668" s="11" t="n"/>
      <c r="I668" s="11" t="n"/>
      <c r="J668" s="9">
        <f>IF(OR(F668="",H668=""),"",IF(F668&gt;H668,E668,IF(H668&gt;F668,G668,"")))</f>
        <v/>
      </c>
      <c r="K668" s="4" t="n"/>
      <c r="L668" s="9">
        <f>IF(COUNTA(A668,C668,D668,E668,F668,G668,H668,I668)=0,"",IF(OR(A668="",C668="",E668="",G668=""),"Missing week/class/team",IF(AND(D668="",I668&lt;&gt;"Y"),"No chapter (forfeit?)",IF(AND(D668&lt;&gt;"",I668="Y"),"Forfeit has a chapter",IF(OR(F668="",H668=""),"Missing score",IF(F668=H668,"Tie score",IF(COUNTIFS($A$2:$A$801,A668,$E$2:$E$801,E668)+COUNTIFS($A$2:$A$801,A668,$G$2:$G$801,E668)&gt;1,"Team 1 listed twice this week",IF(COUNTIFS($A$2:$A$801,A668,$E$2:$E$801,G668)+COUNTIFS($A$2:$A$801,A668,$G$2:$G$801,G668)&gt;1,"Team 2 listed twice this week",""))))))))</f>
        <v/>
      </c>
    </row>
    <row r="669">
      <c r="A669" s="11" t="n"/>
      <c r="B669" s="9">
        <f>IF(A669="","",IFERROR(INDEX(Lists!$G$2:$G$7,MATCH(A669,Lists!$F$2:$F$7,0)),"?"))</f>
        <v/>
      </c>
      <c r="C669" s="4" t="n"/>
      <c r="D669" s="4" t="n"/>
      <c r="E669" s="4" t="n"/>
      <c r="F669" s="11" t="n"/>
      <c r="G669" s="4" t="n"/>
      <c r="H669" s="11" t="n"/>
      <c r="I669" s="11" t="n"/>
      <c r="J669" s="9">
        <f>IF(OR(F669="",H669=""),"",IF(F669&gt;H669,E669,IF(H669&gt;F669,G669,"")))</f>
        <v/>
      </c>
      <c r="K669" s="4" t="n"/>
      <c r="L669" s="9">
        <f>IF(COUNTA(A669,C669,D669,E669,F669,G669,H669,I669)=0,"",IF(OR(A669="",C669="",E669="",G669=""),"Missing week/class/team",IF(AND(D669="",I669&lt;&gt;"Y"),"No chapter (forfeit?)",IF(AND(D669&lt;&gt;"",I669="Y"),"Forfeit has a chapter",IF(OR(F669="",H669=""),"Missing score",IF(F669=H669,"Tie score",IF(COUNTIFS($A$2:$A$801,A669,$E$2:$E$801,E669)+COUNTIFS($A$2:$A$801,A669,$G$2:$G$801,E669)&gt;1,"Team 1 listed twice this week",IF(COUNTIFS($A$2:$A$801,A669,$E$2:$E$801,G669)+COUNTIFS($A$2:$A$801,A669,$G$2:$G$801,G669)&gt;1,"Team 2 listed twice this week",""))))))))</f>
        <v/>
      </c>
    </row>
    <row r="670">
      <c r="A670" s="11" t="n"/>
      <c r="B670" s="9">
        <f>IF(A670="","",IFERROR(INDEX(Lists!$G$2:$G$7,MATCH(A670,Lists!$F$2:$F$7,0)),"?"))</f>
        <v/>
      </c>
      <c r="C670" s="4" t="n"/>
      <c r="D670" s="4" t="n"/>
      <c r="E670" s="4" t="n"/>
      <c r="F670" s="11" t="n"/>
      <c r="G670" s="4" t="n"/>
      <c r="H670" s="11" t="n"/>
      <c r="I670" s="11" t="n"/>
      <c r="J670" s="9">
        <f>IF(OR(F670="",H670=""),"",IF(F670&gt;H670,E670,IF(H670&gt;F670,G670,"")))</f>
        <v/>
      </c>
      <c r="K670" s="4" t="n"/>
      <c r="L670" s="9">
        <f>IF(COUNTA(A670,C670,D670,E670,F670,G670,H670,I670)=0,"",IF(OR(A670="",C670="",E670="",G670=""),"Missing week/class/team",IF(AND(D670="",I670&lt;&gt;"Y"),"No chapter (forfeit?)",IF(AND(D670&lt;&gt;"",I670="Y"),"Forfeit has a chapter",IF(OR(F670="",H670=""),"Missing score",IF(F670=H670,"Tie score",IF(COUNTIFS($A$2:$A$801,A670,$E$2:$E$801,E670)+COUNTIFS($A$2:$A$801,A670,$G$2:$G$801,E670)&gt;1,"Team 1 listed twice this week",IF(COUNTIFS($A$2:$A$801,A670,$E$2:$E$801,G670)+COUNTIFS($A$2:$A$801,A670,$G$2:$G$801,G670)&gt;1,"Team 2 listed twice this week",""))))))))</f>
        <v/>
      </c>
    </row>
    <row r="671">
      <c r="A671" s="11" t="n"/>
      <c r="B671" s="9">
        <f>IF(A671="","",IFERROR(INDEX(Lists!$G$2:$G$7,MATCH(A671,Lists!$F$2:$F$7,0)),"?"))</f>
        <v/>
      </c>
      <c r="C671" s="4" t="n"/>
      <c r="D671" s="4" t="n"/>
      <c r="E671" s="4" t="n"/>
      <c r="F671" s="11" t="n"/>
      <c r="G671" s="4" t="n"/>
      <c r="H671" s="11" t="n"/>
      <c r="I671" s="11" t="n"/>
      <c r="J671" s="9">
        <f>IF(OR(F671="",H671=""),"",IF(F671&gt;H671,E671,IF(H671&gt;F671,G671,"")))</f>
        <v/>
      </c>
      <c r="K671" s="4" t="n"/>
      <c r="L671" s="9">
        <f>IF(COUNTA(A671,C671,D671,E671,F671,G671,H671,I671)=0,"",IF(OR(A671="",C671="",E671="",G671=""),"Missing week/class/team",IF(AND(D671="",I671&lt;&gt;"Y"),"No chapter (forfeit?)",IF(AND(D671&lt;&gt;"",I671="Y"),"Forfeit has a chapter",IF(OR(F671="",H671=""),"Missing score",IF(F671=H671,"Tie score",IF(COUNTIFS($A$2:$A$801,A671,$E$2:$E$801,E671)+COUNTIFS($A$2:$A$801,A671,$G$2:$G$801,E671)&gt;1,"Team 1 listed twice this week",IF(COUNTIFS($A$2:$A$801,A671,$E$2:$E$801,G671)+COUNTIFS($A$2:$A$801,A671,$G$2:$G$801,G671)&gt;1,"Team 2 listed twice this week",""))))))))</f>
        <v/>
      </c>
    </row>
    <row r="672">
      <c r="A672" s="11" t="n"/>
      <c r="B672" s="9">
        <f>IF(A672="","",IFERROR(INDEX(Lists!$G$2:$G$7,MATCH(A672,Lists!$F$2:$F$7,0)),"?"))</f>
        <v/>
      </c>
      <c r="C672" s="4" t="n"/>
      <c r="D672" s="4" t="n"/>
      <c r="E672" s="4" t="n"/>
      <c r="F672" s="11" t="n"/>
      <c r="G672" s="4" t="n"/>
      <c r="H672" s="11" t="n"/>
      <c r="I672" s="11" t="n"/>
      <c r="J672" s="9">
        <f>IF(OR(F672="",H672=""),"",IF(F672&gt;H672,E672,IF(H672&gt;F672,G672,"")))</f>
        <v/>
      </c>
      <c r="K672" s="4" t="n"/>
      <c r="L672" s="9">
        <f>IF(COUNTA(A672,C672,D672,E672,F672,G672,H672,I672)=0,"",IF(OR(A672="",C672="",E672="",G672=""),"Missing week/class/team",IF(AND(D672="",I672&lt;&gt;"Y"),"No chapter (forfeit?)",IF(AND(D672&lt;&gt;"",I672="Y"),"Forfeit has a chapter",IF(OR(F672="",H672=""),"Missing score",IF(F672=H672,"Tie score",IF(COUNTIFS($A$2:$A$801,A672,$E$2:$E$801,E672)+COUNTIFS($A$2:$A$801,A672,$G$2:$G$801,E672)&gt;1,"Team 1 listed twice this week",IF(COUNTIFS($A$2:$A$801,A672,$E$2:$E$801,G672)+COUNTIFS($A$2:$A$801,A672,$G$2:$G$801,G672)&gt;1,"Team 2 listed twice this week",""))))))))</f>
        <v/>
      </c>
    </row>
    <row r="673">
      <c r="A673" s="11" t="n"/>
      <c r="B673" s="9">
        <f>IF(A673="","",IFERROR(INDEX(Lists!$G$2:$G$7,MATCH(A673,Lists!$F$2:$F$7,0)),"?"))</f>
        <v/>
      </c>
      <c r="C673" s="4" t="n"/>
      <c r="D673" s="4" t="n"/>
      <c r="E673" s="4" t="n"/>
      <c r="F673" s="11" t="n"/>
      <c r="G673" s="4" t="n"/>
      <c r="H673" s="11" t="n"/>
      <c r="I673" s="11" t="n"/>
      <c r="J673" s="9">
        <f>IF(OR(F673="",H673=""),"",IF(F673&gt;H673,E673,IF(H673&gt;F673,G673,"")))</f>
        <v/>
      </c>
      <c r="K673" s="4" t="n"/>
      <c r="L673" s="9">
        <f>IF(COUNTA(A673,C673,D673,E673,F673,G673,H673,I673)=0,"",IF(OR(A673="",C673="",E673="",G673=""),"Missing week/class/team",IF(AND(D673="",I673&lt;&gt;"Y"),"No chapter (forfeit?)",IF(AND(D673&lt;&gt;"",I673="Y"),"Forfeit has a chapter",IF(OR(F673="",H673=""),"Missing score",IF(F673=H673,"Tie score",IF(COUNTIFS($A$2:$A$801,A673,$E$2:$E$801,E673)+COUNTIFS($A$2:$A$801,A673,$G$2:$G$801,E673)&gt;1,"Team 1 listed twice this week",IF(COUNTIFS($A$2:$A$801,A673,$E$2:$E$801,G673)+COUNTIFS($A$2:$A$801,A673,$G$2:$G$801,G673)&gt;1,"Team 2 listed twice this week",""))))))))</f>
        <v/>
      </c>
    </row>
    <row r="674">
      <c r="A674" s="11" t="n"/>
      <c r="B674" s="9">
        <f>IF(A674="","",IFERROR(INDEX(Lists!$G$2:$G$7,MATCH(A674,Lists!$F$2:$F$7,0)),"?"))</f>
        <v/>
      </c>
      <c r="C674" s="4" t="n"/>
      <c r="D674" s="4" t="n"/>
      <c r="E674" s="4" t="n"/>
      <c r="F674" s="11" t="n"/>
      <c r="G674" s="4" t="n"/>
      <c r="H674" s="11" t="n"/>
      <c r="I674" s="11" t="n"/>
      <c r="J674" s="9">
        <f>IF(OR(F674="",H674=""),"",IF(F674&gt;H674,E674,IF(H674&gt;F674,G674,"")))</f>
        <v/>
      </c>
      <c r="K674" s="4" t="n"/>
      <c r="L674" s="9">
        <f>IF(COUNTA(A674,C674,D674,E674,F674,G674,H674,I674)=0,"",IF(OR(A674="",C674="",E674="",G674=""),"Missing week/class/team",IF(AND(D674="",I674&lt;&gt;"Y"),"No chapter (forfeit?)",IF(AND(D674&lt;&gt;"",I674="Y"),"Forfeit has a chapter",IF(OR(F674="",H674=""),"Missing score",IF(F674=H674,"Tie score",IF(COUNTIFS($A$2:$A$801,A674,$E$2:$E$801,E674)+COUNTIFS($A$2:$A$801,A674,$G$2:$G$801,E674)&gt;1,"Team 1 listed twice this week",IF(COUNTIFS($A$2:$A$801,A674,$E$2:$E$801,G674)+COUNTIFS($A$2:$A$801,A674,$G$2:$G$801,G674)&gt;1,"Team 2 listed twice this week",""))))))))</f>
        <v/>
      </c>
    </row>
    <row r="675">
      <c r="A675" s="11" t="n"/>
      <c r="B675" s="9">
        <f>IF(A675="","",IFERROR(INDEX(Lists!$G$2:$G$7,MATCH(A675,Lists!$F$2:$F$7,0)),"?"))</f>
        <v/>
      </c>
      <c r="C675" s="4" t="n"/>
      <c r="D675" s="4" t="n"/>
      <c r="E675" s="4" t="n"/>
      <c r="F675" s="11" t="n"/>
      <c r="G675" s="4" t="n"/>
      <c r="H675" s="11" t="n"/>
      <c r="I675" s="11" t="n"/>
      <c r="J675" s="9">
        <f>IF(OR(F675="",H675=""),"",IF(F675&gt;H675,E675,IF(H675&gt;F675,G675,"")))</f>
        <v/>
      </c>
      <c r="K675" s="4" t="n"/>
      <c r="L675" s="9">
        <f>IF(COUNTA(A675,C675,D675,E675,F675,G675,H675,I675)=0,"",IF(OR(A675="",C675="",E675="",G675=""),"Missing week/class/team",IF(AND(D675="",I675&lt;&gt;"Y"),"No chapter (forfeit?)",IF(AND(D675&lt;&gt;"",I675="Y"),"Forfeit has a chapter",IF(OR(F675="",H675=""),"Missing score",IF(F675=H675,"Tie score",IF(COUNTIFS($A$2:$A$801,A675,$E$2:$E$801,E675)+COUNTIFS($A$2:$A$801,A675,$G$2:$G$801,E675)&gt;1,"Team 1 listed twice this week",IF(COUNTIFS($A$2:$A$801,A675,$E$2:$E$801,G675)+COUNTIFS($A$2:$A$801,A675,$G$2:$G$801,G675)&gt;1,"Team 2 listed twice this week",""))))))))</f>
        <v/>
      </c>
    </row>
    <row r="676">
      <c r="A676" s="11" t="n"/>
      <c r="B676" s="9">
        <f>IF(A676="","",IFERROR(INDEX(Lists!$G$2:$G$7,MATCH(A676,Lists!$F$2:$F$7,0)),"?"))</f>
        <v/>
      </c>
      <c r="C676" s="4" t="n"/>
      <c r="D676" s="4" t="n"/>
      <c r="E676" s="4" t="n"/>
      <c r="F676" s="11" t="n"/>
      <c r="G676" s="4" t="n"/>
      <c r="H676" s="11" t="n"/>
      <c r="I676" s="11" t="n"/>
      <c r="J676" s="9">
        <f>IF(OR(F676="",H676=""),"",IF(F676&gt;H676,E676,IF(H676&gt;F676,G676,"")))</f>
        <v/>
      </c>
      <c r="K676" s="4" t="n"/>
      <c r="L676" s="9">
        <f>IF(COUNTA(A676,C676,D676,E676,F676,G676,H676,I676)=0,"",IF(OR(A676="",C676="",E676="",G676=""),"Missing week/class/team",IF(AND(D676="",I676&lt;&gt;"Y"),"No chapter (forfeit?)",IF(AND(D676&lt;&gt;"",I676="Y"),"Forfeit has a chapter",IF(OR(F676="",H676=""),"Missing score",IF(F676=H676,"Tie score",IF(COUNTIFS($A$2:$A$801,A676,$E$2:$E$801,E676)+COUNTIFS($A$2:$A$801,A676,$G$2:$G$801,E676)&gt;1,"Team 1 listed twice this week",IF(COUNTIFS($A$2:$A$801,A676,$E$2:$E$801,G676)+COUNTIFS($A$2:$A$801,A676,$G$2:$G$801,G676)&gt;1,"Team 2 listed twice this week",""))))))))</f>
        <v/>
      </c>
    </row>
    <row r="677">
      <c r="A677" s="11" t="n"/>
      <c r="B677" s="9">
        <f>IF(A677="","",IFERROR(INDEX(Lists!$G$2:$G$7,MATCH(A677,Lists!$F$2:$F$7,0)),"?"))</f>
        <v/>
      </c>
      <c r="C677" s="4" t="n"/>
      <c r="D677" s="4" t="n"/>
      <c r="E677" s="4" t="n"/>
      <c r="F677" s="11" t="n"/>
      <c r="G677" s="4" t="n"/>
      <c r="H677" s="11" t="n"/>
      <c r="I677" s="11" t="n"/>
      <c r="J677" s="9">
        <f>IF(OR(F677="",H677=""),"",IF(F677&gt;H677,E677,IF(H677&gt;F677,G677,"")))</f>
        <v/>
      </c>
      <c r="K677" s="4" t="n"/>
      <c r="L677" s="9">
        <f>IF(COUNTA(A677,C677,D677,E677,F677,G677,H677,I677)=0,"",IF(OR(A677="",C677="",E677="",G677=""),"Missing week/class/team",IF(AND(D677="",I677&lt;&gt;"Y"),"No chapter (forfeit?)",IF(AND(D677&lt;&gt;"",I677="Y"),"Forfeit has a chapter",IF(OR(F677="",H677=""),"Missing score",IF(F677=H677,"Tie score",IF(COUNTIFS($A$2:$A$801,A677,$E$2:$E$801,E677)+COUNTIFS($A$2:$A$801,A677,$G$2:$G$801,E677)&gt;1,"Team 1 listed twice this week",IF(COUNTIFS($A$2:$A$801,A677,$E$2:$E$801,G677)+COUNTIFS($A$2:$A$801,A677,$G$2:$G$801,G677)&gt;1,"Team 2 listed twice this week",""))))))))</f>
        <v/>
      </c>
    </row>
    <row r="678">
      <c r="A678" s="11" t="n"/>
      <c r="B678" s="9">
        <f>IF(A678="","",IFERROR(INDEX(Lists!$G$2:$G$7,MATCH(A678,Lists!$F$2:$F$7,0)),"?"))</f>
        <v/>
      </c>
      <c r="C678" s="4" t="n"/>
      <c r="D678" s="4" t="n"/>
      <c r="E678" s="4" t="n"/>
      <c r="F678" s="11" t="n"/>
      <c r="G678" s="4" t="n"/>
      <c r="H678" s="11" t="n"/>
      <c r="I678" s="11" t="n"/>
      <c r="J678" s="9">
        <f>IF(OR(F678="",H678=""),"",IF(F678&gt;H678,E678,IF(H678&gt;F678,G678,"")))</f>
        <v/>
      </c>
      <c r="K678" s="4" t="n"/>
      <c r="L678" s="9">
        <f>IF(COUNTA(A678,C678,D678,E678,F678,G678,H678,I678)=0,"",IF(OR(A678="",C678="",E678="",G678=""),"Missing week/class/team",IF(AND(D678="",I678&lt;&gt;"Y"),"No chapter (forfeit?)",IF(AND(D678&lt;&gt;"",I678="Y"),"Forfeit has a chapter",IF(OR(F678="",H678=""),"Missing score",IF(F678=H678,"Tie score",IF(COUNTIFS($A$2:$A$801,A678,$E$2:$E$801,E678)+COUNTIFS($A$2:$A$801,A678,$G$2:$G$801,E678)&gt;1,"Team 1 listed twice this week",IF(COUNTIFS($A$2:$A$801,A678,$E$2:$E$801,G678)+COUNTIFS($A$2:$A$801,A678,$G$2:$G$801,G678)&gt;1,"Team 2 listed twice this week",""))))))))</f>
        <v/>
      </c>
    </row>
    <row r="679">
      <c r="A679" s="11" t="n"/>
      <c r="B679" s="9">
        <f>IF(A679="","",IFERROR(INDEX(Lists!$G$2:$G$7,MATCH(A679,Lists!$F$2:$F$7,0)),"?"))</f>
        <v/>
      </c>
      <c r="C679" s="4" t="n"/>
      <c r="D679" s="4" t="n"/>
      <c r="E679" s="4" t="n"/>
      <c r="F679" s="11" t="n"/>
      <c r="G679" s="4" t="n"/>
      <c r="H679" s="11" t="n"/>
      <c r="I679" s="11" t="n"/>
      <c r="J679" s="9">
        <f>IF(OR(F679="",H679=""),"",IF(F679&gt;H679,E679,IF(H679&gt;F679,G679,"")))</f>
        <v/>
      </c>
      <c r="K679" s="4" t="n"/>
      <c r="L679" s="9">
        <f>IF(COUNTA(A679,C679,D679,E679,F679,G679,H679,I679)=0,"",IF(OR(A679="",C679="",E679="",G679=""),"Missing week/class/team",IF(AND(D679="",I679&lt;&gt;"Y"),"No chapter (forfeit?)",IF(AND(D679&lt;&gt;"",I679="Y"),"Forfeit has a chapter",IF(OR(F679="",H679=""),"Missing score",IF(F679=H679,"Tie score",IF(COUNTIFS($A$2:$A$801,A679,$E$2:$E$801,E679)+COUNTIFS($A$2:$A$801,A679,$G$2:$G$801,E679)&gt;1,"Team 1 listed twice this week",IF(COUNTIFS($A$2:$A$801,A679,$E$2:$E$801,G679)+COUNTIFS($A$2:$A$801,A679,$G$2:$G$801,G679)&gt;1,"Team 2 listed twice this week",""))))))))</f>
        <v/>
      </c>
    </row>
    <row r="680">
      <c r="A680" s="11" t="n"/>
      <c r="B680" s="9">
        <f>IF(A680="","",IFERROR(INDEX(Lists!$G$2:$G$7,MATCH(A680,Lists!$F$2:$F$7,0)),"?"))</f>
        <v/>
      </c>
      <c r="C680" s="4" t="n"/>
      <c r="D680" s="4" t="n"/>
      <c r="E680" s="4" t="n"/>
      <c r="F680" s="11" t="n"/>
      <c r="G680" s="4" t="n"/>
      <c r="H680" s="11" t="n"/>
      <c r="I680" s="11" t="n"/>
      <c r="J680" s="9">
        <f>IF(OR(F680="",H680=""),"",IF(F680&gt;H680,E680,IF(H680&gt;F680,G680,"")))</f>
        <v/>
      </c>
      <c r="K680" s="4" t="n"/>
      <c r="L680" s="9">
        <f>IF(COUNTA(A680,C680,D680,E680,F680,G680,H680,I680)=0,"",IF(OR(A680="",C680="",E680="",G680=""),"Missing week/class/team",IF(AND(D680="",I680&lt;&gt;"Y"),"No chapter (forfeit?)",IF(AND(D680&lt;&gt;"",I680="Y"),"Forfeit has a chapter",IF(OR(F680="",H680=""),"Missing score",IF(F680=H680,"Tie score",IF(COUNTIFS($A$2:$A$801,A680,$E$2:$E$801,E680)+COUNTIFS($A$2:$A$801,A680,$G$2:$G$801,E680)&gt;1,"Team 1 listed twice this week",IF(COUNTIFS($A$2:$A$801,A680,$E$2:$E$801,G680)+COUNTIFS($A$2:$A$801,A680,$G$2:$G$801,G680)&gt;1,"Team 2 listed twice this week",""))))))))</f>
        <v/>
      </c>
    </row>
    <row r="681">
      <c r="A681" s="11" t="n"/>
      <c r="B681" s="9">
        <f>IF(A681="","",IFERROR(INDEX(Lists!$G$2:$G$7,MATCH(A681,Lists!$F$2:$F$7,0)),"?"))</f>
        <v/>
      </c>
      <c r="C681" s="4" t="n"/>
      <c r="D681" s="4" t="n"/>
      <c r="E681" s="4" t="n"/>
      <c r="F681" s="11" t="n"/>
      <c r="G681" s="4" t="n"/>
      <c r="H681" s="11" t="n"/>
      <c r="I681" s="11" t="n"/>
      <c r="J681" s="9">
        <f>IF(OR(F681="",H681=""),"",IF(F681&gt;H681,E681,IF(H681&gt;F681,G681,"")))</f>
        <v/>
      </c>
      <c r="K681" s="4" t="n"/>
      <c r="L681" s="9">
        <f>IF(COUNTA(A681,C681,D681,E681,F681,G681,H681,I681)=0,"",IF(OR(A681="",C681="",E681="",G681=""),"Missing week/class/team",IF(AND(D681="",I681&lt;&gt;"Y"),"No chapter (forfeit?)",IF(AND(D681&lt;&gt;"",I681="Y"),"Forfeit has a chapter",IF(OR(F681="",H681=""),"Missing score",IF(F681=H681,"Tie score",IF(COUNTIFS($A$2:$A$801,A681,$E$2:$E$801,E681)+COUNTIFS($A$2:$A$801,A681,$G$2:$G$801,E681)&gt;1,"Team 1 listed twice this week",IF(COUNTIFS($A$2:$A$801,A681,$E$2:$E$801,G681)+COUNTIFS($A$2:$A$801,A681,$G$2:$G$801,G681)&gt;1,"Team 2 listed twice this week",""))))))))</f>
        <v/>
      </c>
    </row>
    <row r="682">
      <c r="A682" s="11" t="n"/>
      <c r="B682" s="9">
        <f>IF(A682="","",IFERROR(INDEX(Lists!$G$2:$G$7,MATCH(A682,Lists!$F$2:$F$7,0)),"?"))</f>
        <v/>
      </c>
      <c r="C682" s="4" t="n"/>
      <c r="D682" s="4" t="n"/>
      <c r="E682" s="4" t="n"/>
      <c r="F682" s="11" t="n"/>
      <c r="G682" s="4" t="n"/>
      <c r="H682" s="11" t="n"/>
      <c r="I682" s="11" t="n"/>
      <c r="J682" s="9">
        <f>IF(OR(F682="",H682=""),"",IF(F682&gt;H682,E682,IF(H682&gt;F682,G682,"")))</f>
        <v/>
      </c>
      <c r="K682" s="4" t="n"/>
      <c r="L682" s="9">
        <f>IF(COUNTA(A682,C682,D682,E682,F682,G682,H682,I682)=0,"",IF(OR(A682="",C682="",E682="",G682=""),"Missing week/class/team",IF(AND(D682="",I682&lt;&gt;"Y"),"No chapter (forfeit?)",IF(AND(D682&lt;&gt;"",I682="Y"),"Forfeit has a chapter",IF(OR(F682="",H682=""),"Missing score",IF(F682=H682,"Tie score",IF(COUNTIFS($A$2:$A$801,A682,$E$2:$E$801,E682)+COUNTIFS($A$2:$A$801,A682,$G$2:$G$801,E682)&gt;1,"Team 1 listed twice this week",IF(COUNTIFS($A$2:$A$801,A682,$E$2:$E$801,G682)+COUNTIFS($A$2:$A$801,A682,$G$2:$G$801,G682)&gt;1,"Team 2 listed twice this week",""))))))))</f>
        <v/>
      </c>
    </row>
    <row r="683">
      <c r="A683" s="11" t="n"/>
      <c r="B683" s="9">
        <f>IF(A683="","",IFERROR(INDEX(Lists!$G$2:$G$7,MATCH(A683,Lists!$F$2:$F$7,0)),"?"))</f>
        <v/>
      </c>
      <c r="C683" s="4" t="n"/>
      <c r="D683" s="4" t="n"/>
      <c r="E683" s="4" t="n"/>
      <c r="F683" s="11" t="n"/>
      <c r="G683" s="4" t="n"/>
      <c r="H683" s="11" t="n"/>
      <c r="I683" s="11" t="n"/>
      <c r="J683" s="9">
        <f>IF(OR(F683="",H683=""),"",IF(F683&gt;H683,E683,IF(H683&gt;F683,G683,"")))</f>
        <v/>
      </c>
      <c r="K683" s="4" t="n"/>
      <c r="L683" s="9">
        <f>IF(COUNTA(A683,C683,D683,E683,F683,G683,H683,I683)=0,"",IF(OR(A683="",C683="",E683="",G683=""),"Missing week/class/team",IF(AND(D683="",I683&lt;&gt;"Y"),"No chapter (forfeit?)",IF(AND(D683&lt;&gt;"",I683="Y"),"Forfeit has a chapter",IF(OR(F683="",H683=""),"Missing score",IF(F683=H683,"Tie score",IF(COUNTIFS($A$2:$A$801,A683,$E$2:$E$801,E683)+COUNTIFS($A$2:$A$801,A683,$G$2:$G$801,E683)&gt;1,"Team 1 listed twice this week",IF(COUNTIFS($A$2:$A$801,A683,$E$2:$E$801,G683)+COUNTIFS($A$2:$A$801,A683,$G$2:$G$801,G683)&gt;1,"Team 2 listed twice this week",""))))))))</f>
        <v/>
      </c>
    </row>
    <row r="684">
      <c r="A684" s="11" t="n"/>
      <c r="B684" s="9">
        <f>IF(A684="","",IFERROR(INDEX(Lists!$G$2:$G$7,MATCH(A684,Lists!$F$2:$F$7,0)),"?"))</f>
        <v/>
      </c>
      <c r="C684" s="4" t="n"/>
      <c r="D684" s="4" t="n"/>
      <c r="E684" s="4" t="n"/>
      <c r="F684" s="11" t="n"/>
      <c r="G684" s="4" t="n"/>
      <c r="H684" s="11" t="n"/>
      <c r="I684" s="11" t="n"/>
      <c r="J684" s="9">
        <f>IF(OR(F684="",H684=""),"",IF(F684&gt;H684,E684,IF(H684&gt;F684,G684,"")))</f>
        <v/>
      </c>
      <c r="K684" s="4" t="n"/>
      <c r="L684" s="9">
        <f>IF(COUNTA(A684,C684,D684,E684,F684,G684,H684,I684)=0,"",IF(OR(A684="",C684="",E684="",G684=""),"Missing week/class/team",IF(AND(D684="",I684&lt;&gt;"Y"),"No chapter (forfeit?)",IF(AND(D684&lt;&gt;"",I684="Y"),"Forfeit has a chapter",IF(OR(F684="",H684=""),"Missing score",IF(F684=H684,"Tie score",IF(COUNTIFS($A$2:$A$801,A684,$E$2:$E$801,E684)+COUNTIFS($A$2:$A$801,A684,$G$2:$G$801,E684)&gt;1,"Team 1 listed twice this week",IF(COUNTIFS($A$2:$A$801,A684,$E$2:$E$801,G684)+COUNTIFS($A$2:$A$801,A684,$G$2:$G$801,G684)&gt;1,"Team 2 listed twice this week",""))))))))</f>
        <v/>
      </c>
    </row>
    <row r="685">
      <c r="A685" s="11" t="n"/>
      <c r="B685" s="9">
        <f>IF(A685="","",IFERROR(INDEX(Lists!$G$2:$G$7,MATCH(A685,Lists!$F$2:$F$7,0)),"?"))</f>
        <v/>
      </c>
      <c r="C685" s="4" t="n"/>
      <c r="D685" s="4" t="n"/>
      <c r="E685" s="4" t="n"/>
      <c r="F685" s="11" t="n"/>
      <c r="G685" s="4" t="n"/>
      <c r="H685" s="11" t="n"/>
      <c r="I685" s="11" t="n"/>
      <c r="J685" s="9">
        <f>IF(OR(F685="",H685=""),"",IF(F685&gt;H685,E685,IF(H685&gt;F685,G685,"")))</f>
        <v/>
      </c>
      <c r="K685" s="4" t="n"/>
      <c r="L685" s="9">
        <f>IF(COUNTA(A685,C685,D685,E685,F685,G685,H685,I685)=0,"",IF(OR(A685="",C685="",E685="",G685=""),"Missing week/class/team",IF(AND(D685="",I685&lt;&gt;"Y"),"No chapter (forfeit?)",IF(AND(D685&lt;&gt;"",I685="Y"),"Forfeit has a chapter",IF(OR(F685="",H685=""),"Missing score",IF(F685=H685,"Tie score",IF(COUNTIFS($A$2:$A$801,A685,$E$2:$E$801,E685)+COUNTIFS($A$2:$A$801,A685,$G$2:$G$801,E685)&gt;1,"Team 1 listed twice this week",IF(COUNTIFS($A$2:$A$801,A685,$E$2:$E$801,G685)+COUNTIFS($A$2:$A$801,A685,$G$2:$G$801,G685)&gt;1,"Team 2 listed twice this week",""))))))))</f>
        <v/>
      </c>
    </row>
    <row r="686">
      <c r="A686" s="11" t="n"/>
      <c r="B686" s="9">
        <f>IF(A686="","",IFERROR(INDEX(Lists!$G$2:$G$7,MATCH(A686,Lists!$F$2:$F$7,0)),"?"))</f>
        <v/>
      </c>
      <c r="C686" s="4" t="n"/>
      <c r="D686" s="4" t="n"/>
      <c r="E686" s="4" t="n"/>
      <c r="F686" s="11" t="n"/>
      <c r="G686" s="4" t="n"/>
      <c r="H686" s="11" t="n"/>
      <c r="I686" s="11" t="n"/>
      <c r="J686" s="9">
        <f>IF(OR(F686="",H686=""),"",IF(F686&gt;H686,E686,IF(H686&gt;F686,G686,"")))</f>
        <v/>
      </c>
      <c r="K686" s="4" t="n"/>
      <c r="L686" s="9">
        <f>IF(COUNTA(A686,C686,D686,E686,F686,G686,H686,I686)=0,"",IF(OR(A686="",C686="",E686="",G686=""),"Missing week/class/team",IF(AND(D686="",I686&lt;&gt;"Y"),"No chapter (forfeit?)",IF(AND(D686&lt;&gt;"",I686="Y"),"Forfeit has a chapter",IF(OR(F686="",H686=""),"Missing score",IF(F686=H686,"Tie score",IF(COUNTIFS($A$2:$A$801,A686,$E$2:$E$801,E686)+COUNTIFS($A$2:$A$801,A686,$G$2:$G$801,E686)&gt;1,"Team 1 listed twice this week",IF(COUNTIFS($A$2:$A$801,A686,$E$2:$E$801,G686)+COUNTIFS($A$2:$A$801,A686,$G$2:$G$801,G686)&gt;1,"Team 2 listed twice this week",""))))))))</f>
        <v/>
      </c>
    </row>
    <row r="687">
      <c r="A687" s="11" t="n"/>
      <c r="B687" s="9">
        <f>IF(A687="","",IFERROR(INDEX(Lists!$G$2:$G$7,MATCH(A687,Lists!$F$2:$F$7,0)),"?"))</f>
        <v/>
      </c>
      <c r="C687" s="4" t="n"/>
      <c r="D687" s="4" t="n"/>
      <c r="E687" s="4" t="n"/>
      <c r="F687" s="11" t="n"/>
      <c r="G687" s="4" t="n"/>
      <c r="H687" s="11" t="n"/>
      <c r="I687" s="11" t="n"/>
      <c r="J687" s="9">
        <f>IF(OR(F687="",H687=""),"",IF(F687&gt;H687,E687,IF(H687&gt;F687,G687,"")))</f>
        <v/>
      </c>
      <c r="K687" s="4" t="n"/>
      <c r="L687" s="9">
        <f>IF(COUNTA(A687,C687,D687,E687,F687,G687,H687,I687)=0,"",IF(OR(A687="",C687="",E687="",G687=""),"Missing week/class/team",IF(AND(D687="",I687&lt;&gt;"Y"),"No chapter (forfeit?)",IF(AND(D687&lt;&gt;"",I687="Y"),"Forfeit has a chapter",IF(OR(F687="",H687=""),"Missing score",IF(F687=H687,"Tie score",IF(COUNTIFS($A$2:$A$801,A687,$E$2:$E$801,E687)+COUNTIFS($A$2:$A$801,A687,$G$2:$G$801,E687)&gt;1,"Team 1 listed twice this week",IF(COUNTIFS($A$2:$A$801,A687,$E$2:$E$801,G687)+COUNTIFS($A$2:$A$801,A687,$G$2:$G$801,G687)&gt;1,"Team 2 listed twice this week",""))))))))</f>
        <v/>
      </c>
    </row>
    <row r="688">
      <c r="A688" s="11" t="n"/>
      <c r="B688" s="9">
        <f>IF(A688="","",IFERROR(INDEX(Lists!$G$2:$G$7,MATCH(A688,Lists!$F$2:$F$7,0)),"?"))</f>
        <v/>
      </c>
      <c r="C688" s="4" t="n"/>
      <c r="D688" s="4" t="n"/>
      <c r="E688" s="4" t="n"/>
      <c r="F688" s="11" t="n"/>
      <c r="G688" s="4" t="n"/>
      <c r="H688" s="11" t="n"/>
      <c r="I688" s="11" t="n"/>
      <c r="J688" s="9">
        <f>IF(OR(F688="",H688=""),"",IF(F688&gt;H688,E688,IF(H688&gt;F688,G688,"")))</f>
        <v/>
      </c>
      <c r="K688" s="4" t="n"/>
      <c r="L688" s="9">
        <f>IF(COUNTA(A688,C688,D688,E688,F688,G688,H688,I688)=0,"",IF(OR(A688="",C688="",E688="",G688=""),"Missing week/class/team",IF(AND(D688="",I688&lt;&gt;"Y"),"No chapter (forfeit?)",IF(AND(D688&lt;&gt;"",I688="Y"),"Forfeit has a chapter",IF(OR(F688="",H688=""),"Missing score",IF(F688=H688,"Tie score",IF(COUNTIFS($A$2:$A$801,A688,$E$2:$E$801,E688)+COUNTIFS($A$2:$A$801,A688,$G$2:$G$801,E688)&gt;1,"Team 1 listed twice this week",IF(COUNTIFS($A$2:$A$801,A688,$E$2:$E$801,G688)+COUNTIFS($A$2:$A$801,A688,$G$2:$G$801,G688)&gt;1,"Team 2 listed twice this week",""))))))))</f>
        <v/>
      </c>
    </row>
    <row r="689">
      <c r="A689" s="11" t="n"/>
      <c r="B689" s="9">
        <f>IF(A689="","",IFERROR(INDEX(Lists!$G$2:$G$7,MATCH(A689,Lists!$F$2:$F$7,0)),"?"))</f>
        <v/>
      </c>
      <c r="C689" s="4" t="n"/>
      <c r="D689" s="4" t="n"/>
      <c r="E689" s="4" t="n"/>
      <c r="F689" s="11" t="n"/>
      <c r="G689" s="4" t="n"/>
      <c r="H689" s="11" t="n"/>
      <c r="I689" s="11" t="n"/>
      <c r="J689" s="9">
        <f>IF(OR(F689="",H689=""),"",IF(F689&gt;H689,E689,IF(H689&gt;F689,G689,"")))</f>
        <v/>
      </c>
      <c r="K689" s="4" t="n"/>
      <c r="L689" s="9">
        <f>IF(COUNTA(A689,C689,D689,E689,F689,G689,H689,I689)=0,"",IF(OR(A689="",C689="",E689="",G689=""),"Missing week/class/team",IF(AND(D689="",I689&lt;&gt;"Y"),"No chapter (forfeit?)",IF(AND(D689&lt;&gt;"",I689="Y"),"Forfeit has a chapter",IF(OR(F689="",H689=""),"Missing score",IF(F689=H689,"Tie score",IF(COUNTIFS($A$2:$A$801,A689,$E$2:$E$801,E689)+COUNTIFS($A$2:$A$801,A689,$G$2:$G$801,E689)&gt;1,"Team 1 listed twice this week",IF(COUNTIFS($A$2:$A$801,A689,$E$2:$E$801,G689)+COUNTIFS($A$2:$A$801,A689,$G$2:$G$801,G689)&gt;1,"Team 2 listed twice this week",""))))))))</f>
        <v/>
      </c>
    </row>
    <row r="690">
      <c r="A690" s="11" t="n"/>
      <c r="B690" s="9">
        <f>IF(A690="","",IFERROR(INDEX(Lists!$G$2:$G$7,MATCH(A690,Lists!$F$2:$F$7,0)),"?"))</f>
        <v/>
      </c>
      <c r="C690" s="4" t="n"/>
      <c r="D690" s="4" t="n"/>
      <c r="E690" s="4" t="n"/>
      <c r="F690" s="11" t="n"/>
      <c r="G690" s="4" t="n"/>
      <c r="H690" s="11" t="n"/>
      <c r="I690" s="11" t="n"/>
      <c r="J690" s="9">
        <f>IF(OR(F690="",H690=""),"",IF(F690&gt;H690,E690,IF(H690&gt;F690,G690,"")))</f>
        <v/>
      </c>
      <c r="K690" s="4" t="n"/>
      <c r="L690" s="9">
        <f>IF(COUNTA(A690,C690,D690,E690,F690,G690,H690,I690)=0,"",IF(OR(A690="",C690="",E690="",G690=""),"Missing week/class/team",IF(AND(D690="",I690&lt;&gt;"Y"),"No chapter (forfeit?)",IF(AND(D690&lt;&gt;"",I690="Y"),"Forfeit has a chapter",IF(OR(F690="",H690=""),"Missing score",IF(F690=H690,"Tie score",IF(COUNTIFS($A$2:$A$801,A690,$E$2:$E$801,E690)+COUNTIFS($A$2:$A$801,A690,$G$2:$G$801,E690)&gt;1,"Team 1 listed twice this week",IF(COUNTIFS($A$2:$A$801,A690,$E$2:$E$801,G690)+COUNTIFS($A$2:$A$801,A690,$G$2:$G$801,G690)&gt;1,"Team 2 listed twice this week",""))))))))</f>
        <v/>
      </c>
    </row>
    <row r="691">
      <c r="A691" s="11" t="n"/>
      <c r="B691" s="9">
        <f>IF(A691="","",IFERROR(INDEX(Lists!$G$2:$G$7,MATCH(A691,Lists!$F$2:$F$7,0)),"?"))</f>
        <v/>
      </c>
      <c r="C691" s="4" t="n"/>
      <c r="D691" s="4" t="n"/>
      <c r="E691" s="4" t="n"/>
      <c r="F691" s="11" t="n"/>
      <c r="G691" s="4" t="n"/>
      <c r="H691" s="11" t="n"/>
      <c r="I691" s="11" t="n"/>
      <c r="J691" s="9">
        <f>IF(OR(F691="",H691=""),"",IF(F691&gt;H691,E691,IF(H691&gt;F691,G691,"")))</f>
        <v/>
      </c>
      <c r="K691" s="4" t="n"/>
      <c r="L691" s="9">
        <f>IF(COUNTA(A691,C691,D691,E691,F691,G691,H691,I691)=0,"",IF(OR(A691="",C691="",E691="",G691=""),"Missing week/class/team",IF(AND(D691="",I691&lt;&gt;"Y"),"No chapter (forfeit?)",IF(AND(D691&lt;&gt;"",I691="Y"),"Forfeit has a chapter",IF(OR(F691="",H691=""),"Missing score",IF(F691=H691,"Tie score",IF(COUNTIFS($A$2:$A$801,A691,$E$2:$E$801,E691)+COUNTIFS($A$2:$A$801,A691,$G$2:$G$801,E691)&gt;1,"Team 1 listed twice this week",IF(COUNTIFS($A$2:$A$801,A691,$E$2:$E$801,G691)+COUNTIFS($A$2:$A$801,A691,$G$2:$G$801,G691)&gt;1,"Team 2 listed twice this week",""))))))))</f>
        <v/>
      </c>
    </row>
    <row r="692">
      <c r="A692" s="11" t="n"/>
      <c r="B692" s="9">
        <f>IF(A692="","",IFERROR(INDEX(Lists!$G$2:$G$7,MATCH(A692,Lists!$F$2:$F$7,0)),"?"))</f>
        <v/>
      </c>
      <c r="C692" s="4" t="n"/>
      <c r="D692" s="4" t="n"/>
      <c r="E692" s="4" t="n"/>
      <c r="F692" s="11" t="n"/>
      <c r="G692" s="4" t="n"/>
      <c r="H692" s="11" t="n"/>
      <c r="I692" s="11" t="n"/>
      <c r="J692" s="9">
        <f>IF(OR(F692="",H692=""),"",IF(F692&gt;H692,E692,IF(H692&gt;F692,G692,"")))</f>
        <v/>
      </c>
      <c r="K692" s="4" t="n"/>
      <c r="L692" s="9">
        <f>IF(COUNTA(A692,C692,D692,E692,F692,G692,H692,I692)=0,"",IF(OR(A692="",C692="",E692="",G692=""),"Missing week/class/team",IF(AND(D692="",I692&lt;&gt;"Y"),"No chapter (forfeit?)",IF(AND(D692&lt;&gt;"",I692="Y"),"Forfeit has a chapter",IF(OR(F692="",H692=""),"Missing score",IF(F692=H692,"Tie score",IF(COUNTIFS($A$2:$A$801,A692,$E$2:$E$801,E692)+COUNTIFS($A$2:$A$801,A692,$G$2:$G$801,E692)&gt;1,"Team 1 listed twice this week",IF(COUNTIFS($A$2:$A$801,A692,$E$2:$E$801,G692)+COUNTIFS($A$2:$A$801,A692,$G$2:$G$801,G692)&gt;1,"Team 2 listed twice this week",""))))))))</f>
        <v/>
      </c>
    </row>
    <row r="693">
      <c r="A693" s="11" t="n"/>
      <c r="B693" s="9">
        <f>IF(A693="","",IFERROR(INDEX(Lists!$G$2:$G$7,MATCH(A693,Lists!$F$2:$F$7,0)),"?"))</f>
        <v/>
      </c>
      <c r="C693" s="4" t="n"/>
      <c r="D693" s="4" t="n"/>
      <c r="E693" s="4" t="n"/>
      <c r="F693" s="11" t="n"/>
      <c r="G693" s="4" t="n"/>
      <c r="H693" s="11" t="n"/>
      <c r="I693" s="11" t="n"/>
      <c r="J693" s="9">
        <f>IF(OR(F693="",H693=""),"",IF(F693&gt;H693,E693,IF(H693&gt;F693,G693,"")))</f>
        <v/>
      </c>
      <c r="K693" s="4" t="n"/>
      <c r="L693" s="9">
        <f>IF(COUNTA(A693,C693,D693,E693,F693,G693,H693,I693)=0,"",IF(OR(A693="",C693="",E693="",G693=""),"Missing week/class/team",IF(AND(D693="",I693&lt;&gt;"Y"),"No chapter (forfeit?)",IF(AND(D693&lt;&gt;"",I693="Y"),"Forfeit has a chapter",IF(OR(F693="",H693=""),"Missing score",IF(F693=H693,"Tie score",IF(COUNTIFS($A$2:$A$801,A693,$E$2:$E$801,E693)+COUNTIFS($A$2:$A$801,A693,$G$2:$G$801,E693)&gt;1,"Team 1 listed twice this week",IF(COUNTIFS($A$2:$A$801,A693,$E$2:$E$801,G693)+COUNTIFS($A$2:$A$801,A693,$G$2:$G$801,G693)&gt;1,"Team 2 listed twice this week",""))))))))</f>
        <v/>
      </c>
    </row>
    <row r="694">
      <c r="A694" s="11" t="n"/>
      <c r="B694" s="9">
        <f>IF(A694="","",IFERROR(INDEX(Lists!$G$2:$G$7,MATCH(A694,Lists!$F$2:$F$7,0)),"?"))</f>
        <v/>
      </c>
      <c r="C694" s="4" t="n"/>
      <c r="D694" s="4" t="n"/>
      <c r="E694" s="4" t="n"/>
      <c r="F694" s="11" t="n"/>
      <c r="G694" s="4" t="n"/>
      <c r="H694" s="11" t="n"/>
      <c r="I694" s="11" t="n"/>
      <c r="J694" s="9">
        <f>IF(OR(F694="",H694=""),"",IF(F694&gt;H694,E694,IF(H694&gt;F694,G694,"")))</f>
        <v/>
      </c>
      <c r="K694" s="4" t="n"/>
      <c r="L694" s="9">
        <f>IF(COUNTA(A694,C694,D694,E694,F694,G694,H694,I694)=0,"",IF(OR(A694="",C694="",E694="",G694=""),"Missing week/class/team",IF(AND(D694="",I694&lt;&gt;"Y"),"No chapter (forfeit?)",IF(AND(D694&lt;&gt;"",I694="Y"),"Forfeit has a chapter",IF(OR(F694="",H694=""),"Missing score",IF(F694=H694,"Tie score",IF(COUNTIFS($A$2:$A$801,A694,$E$2:$E$801,E694)+COUNTIFS($A$2:$A$801,A694,$G$2:$G$801,E694)&gt;1,"Team 1 listed twice this week",IF(COUNTIFS($A$2:$A$801,A694,$E$2:$E$801,G694)+COUNTIFS($A$2:$A$801,A694,$G$2:$G$801,G694)&gt;1,"Team 2 listed twice this week",""))))))))</f>
        <v/>
      </c>
    </row>
    <row r="695">
      <c r="A695" s="11" t="n"/>
      <c r="B695" s="9">
        <f>IF(A695="","",IFERROR(INDEX(Lists!$G$2:$G$7,MATCH(A695,Lists!$F$2:$F$7,0)),"?"))</f>
        <v/>
      </c>
      <c r="C695" s="4" t="n"/>
      <c r="D695" s="4" t="n"/>
      <c r="E695" s="4" t="n"/>
      <c r="F695" s="11" t="n"/>
      <c r="G695" s="4" t="n"/>
      <c r="H695" s="11" t="n"/>
      <c r="I695" s="11" t="n"/>
      <c r="J695" s="9">
        <f>IF(OR(F695="",H695=""),"",IF(F695&gt;H695,E695,IF(H695&gt;F695,G695,"")))</f>
        <v/>
      </c>
      <c r="K695" s="4" t="n"/>
      <c r="L695" s="9">
        <f>IF(COUNTA(A695,C695,D695,E695,F695,G695,H695,I695)=0,"",IF(OR(A695="",C695="",E695="",G695=""),"Missing week/class/team",IF(AND(D695="",I695&lt;&gt;"Y"),"No chapter (forfeit?)",IF(AND(D695&lt;&gt;"",I695="Y"),"Forfeit has a chapter",IF(OR(F695="",H695=""),"Missing score",IF(F695=H695,"Tie score",IF(COUNTIFS($A$2:$A$801,A695,$E$2:$E$801,E695)+COUNTIFS($A$2:$A$801,A695,$G$2:$G$801,E695)&gt;1,"Team 1 listed twice this week",IF(COUNTIFS($A$2:$A$801,A695,$E$2:$E$801,G695)+COUNTIFS($A$2:$A$801,A695,$G$2:$G$801,G695)&gt;1,"Team 2 listed twice this week",""))))))))</f>
        <v/>
      </c>
    </row>
    <row r="696">
      <c r="A696" s="11" t="n"/>
      <c r="B696" s="9">
        <f>IF(A696="","",IFERROR(INDEX(Lists!$G$2:$G$7,MATCH(A696,Lists!$F$2:$F$7,0)),"?"))</f>
        <v/>
      </c>
      <c r="C696" s="4" t="n"/>
      <c r="D696" s="4" t="n"/>
      <c r="E696" s="4" t="n"/>
      <c r="F696" s="11" t="n"/>
      <c r="G696" s="4" t="n"/>
      <c r="H696" s="11" t="n"/>
      <c r="I696" s="11" t="n"/>
      <c r="J696" s="9">
        <f>IF(OR(F696="",H696=""),"",IF(F696&gt;H696,E696,IF(H696&gt;F696,G696,"")))</f>
        <v/>
      </c>
      <c r="K696" s="4" t="n"/>
      <c r="L696" s="9">
        <f>IF(COUNTA(A696,C696,D696,E696,F696,G696,H696,I696)=0,"",IF(OR(A696="",C696="",E696="",G696=""),"Missing week/class/team",IF(AND(D696="",I696&lt;&gt;"Y"),"No chapter (forfeit?)",IF(AND(D696&lt;&gt;"",I696="Y"),"Forfeit has a chapter",IF(OR(F696="",H696=""),"Missing score",IF(F696=H696,"Tie score",IF(COUNTIFS($A$2:$A$801,A696,$E$2:$E$801,E696)+COUNTIFS($A$2:$A$801,A696,$G$2:$G$801,E696)&gt;1,"Team 1 listed twice this week",IF(COUNTIFS($A$2:$A$801,A696,$E$2:$E$801,G696)+COUNTIFS($A$2:$A$801,A696,$G$2:$G$801,G696)&gt;1,"Team 2 listed twice this week",""))))))))</f>
        <v/>
      </c>
    </row>
    <row r="697">
      <c r="A697" s="11" t="n"/>
      <c r="B697" s="9">
        <f>IF(A697="","",IFERROR(INDEX(Lists!$G$2:$G$7,MATCH(A697,Lists!$F$2:$F$7,0)),"?"))</f>
        <v/>
      </c>
      <c r="C697" s="4" t="n"/>
      <c r="D697" s="4" t="n"/>
      <c r="E697" s="4" t="n"/>
      <c r="F697" s="11" t="n"/>
      <c r="G697" s="4" t="n"/>
      <c r="H697" s="11" t="n"/>
      <c r="I697" s="11" t="n"/>
      <c r="J697" s="9">
        <f>IF(OR(F697="",H697=""),"",IF(F697&gt;H697,E697,IF(H697&gt;F697,G697,"")))</f>
        <v/>
      </c>
      <c r="K697" s="4" t="n"/>
      <c r="L697" s="9">
        <f>IF(COUNTA(A697,C697,D697,E697,F697,G697,H697,I697)=0,"",IF(OR(A697="",C697="",E697="",G697=""),"Missing week/class/team",IF(AND(D697="",I697&lt;&gt;"Y"),"No chapter (forfeit?)",IF(AND(D697&lt;&gt;"",I697="Y"),"Forfeit has a chapter",IF(OR(F697="",H697=""),"Missing score",IF(F697=H697,"Tie score",IF(COUNTIFS($A$2:$A$801,A697,$E$2:$E$801,E697)+COUNTIFS($A$2:$A$801,A697,$G$2:$G$801,E697)&gt;1,"Team 1 listed twice this week",IF(COUNTIFS($A$2:$A$801,A697,$E$2:$E$801,G697)+COUNTIFS($A$2:$A$801,A697,$G$2:$G$801,G697)&gt;1,"Team 2 listed twice this week",""))))))))</f>
        <v/>
      </c>
    </row>
    <row r="698">
      <c r="A698" s="11" t="n"/>
      <c r="B698" s="9">
        <f>IF(A698="","",IFERROR(INDEX(Lists!$G$2:$G$7,MATCH(A698,Lists!$F$2:$F$7,0)),"?"))</f>
        <v/>
      </c>
      <c r="C698" s="4" t="n"/>
      <c r="D698" s="4" t="n"/>
      <c r="E698" s="4" t="n"/>
      <c r="F698" s="11" t="n"/>
      <c r="G698" s="4" t="n"/>
      <c r="H698" s="11" t="n"/>
      <c r="I698" s="11" t="n"/>
      <c r="J698" s="9">
        <f>IF(OR(F698="",H698=""),"",IF(F698&gt;H698,E698,IF(H698&gt;F698,G698,"")))</f>
        <v/>
      </c>
      <c r="K698" s="4" t="n"/>
      <c r="L698" s="9">
        <f>IF(COUNTA(A698,C698,D698,E698,F698,G698,H698,I698)=0,"",IF(OR(A698="",C698="",E698="",G698=""),"Missing week/class/team",IF(AND(D698="",I698&lt;&gt;"Y"),"No chapter (forfeit?)",IF(AND(D698&lt;&gt;"",I698="Y"),"Forfeit has a chapter",IF(OR(F698="",H698=""),"Missing score",IF(F698=H698,"Tie score",IF(COUNTIFS($A$2:$A$801,A698,$E$2:$E$801,E698)+COUNTIFS($A$2:$A$801,A698,$G$2:$G$801,E698)&gt;1,"Team 1 listed twice this week",IF(COUNTIFS($A$2:$A$801,A698,$E$2:$E$801,G698)+COUNTIFS($A$2:$A$801,A698,$G$2:$G$801,G698)&gt;1,"Team 2 listed twice this week",""))))))))</f>
        <v/>
      </c>
    </row>
    <row r="699">
      <c r="A699" s="11" t="n"/>
      <c r="B699" s="9">
        <f>IF(A699="","",IFERROR(INDEX(Lists!$G$2:$G$7,MATCH(A699,Lists!$F$2:$F$7,0)),"?"))</f>
        <v/>
      </c>
      <c r="C699" s="4" t="n"/>
      <c r="D699" s="4" t="n"/>
      <c r="E699" s="4" t="n"/>
      <c r="F699" s="11" t="n"/>
      <c r="G699" s="4" t="n"/>
      <c r="H699" s="11" t="n"/>
      <c r="I699" s="11" t="n"/>
      <c r="J699" s="9">
        <f>IF(OR(F699="",H699=""),"",IF(F699&gt;H699,E699,IF(H699&gt;F699,G699,"")))</f>
        <v/>
      </c>
      <c r="K699" s="4" t="n"/>
      <c r="L699" s="9">
        <f>IF(COUNTA(A699,C699,D699,E699,F699,G699,H699,I699)=0,"",IF(OR(A699="",C699="",E699="",G699=""),"Missing week/class/team",IF(AND(D699="",I699&lt;&gt;"Y"),"No chapter (forfeit?)",IF(AND(D699&lt;&gt;"",I699="Y"),"Forfeit has a chapter",IF(OR(F699="",H699=""),"Missing score",IF(F699=H699,"Tie score",IF(COUNTIFS($A$2:$A$801,A699,$E$2:$E$801,E699)+COUNTIFS($A$2:$A$801,A699,$G$2:$G$801,E699)&gt;1,"Team 1 listed twice this week",IF(COUNTIFS($A$2:$A$801,A699,$E$2:$E$801,G699)+COUNTIFS($A$2:$A$801,A699,$G$2:$G$801,G699)&gt;1,"Team 2 listed twice this week",""))))))))</f>
        <v/>
      </c>
    </row>
    <row r="700">
      <c r="A700" s="11" t="n"/>
      <c r="B700" s="9">
        <f>IF(A700="","",IFERROR(INDEX(Lists!$G$2:$G$7,MATCH(A700,Lists!$F$2:$F$7,0)),"?"))</f>
        <v/>
      </c>
      <c r="C700" s="4" t="n"/>
      <c r="D700" s="4" t="n"/>
      <c r="E700" s="4" t="n"/>
      <c r="F700" s="11" t="n"/>
      <c r="G700" s="4" t="n"/>
      <c r="H700" s="11" t="n"/>
      <c r="I700" s="11" t="n"/>
      <c r="J700" s="9">
        <f>IF(OR(F700="",H700=""),"",IF(F700&gt;H700,E700,IF(H700&gt;F700,G700,"")))</f>
        <v/>
      </c>
      <c r="K700" s="4" t="n"/>
      <c r="L700" s="9">
        <f>IF(COUNTA(A700,C700,D700,E700,F700,G700,H700,I700)=0,"",IF(OR(A700="",C700="",E700="",G700=""),"Missing week/class/team",IF(AND(D700="",I700&lt;&gt;"Y"),"No chapter (forfeit?)",IF(AND(D700&lt;&gt;"",I700="Y"),"Forfeit has a chapter",IF(OR(F700="",H700=""),"Missing score",IF(F700=H700,"Tie score",IF(COUNTIFS($A$2:$A$801,A700,$E$2:$E$801,E700)+COUNTIFS($A$2:$A$801,A700,$G$2:$G$801,E700)&gt;1,"Team 1 listed twice this week",IF(COUNTIFS($A$2:$A$801,A700,$E$2:$E$801,G700)+COUNTIFS($A$2:$A$801,A700,$G$2:$G$801,G700)&gt;1,"Team 2 listed twice this week",""))))))))</f>
        <v/>
      </c>
    </row>
    <row r="701">
      <c r="A701" s="11" t="n"/>
      <c r="B701" s="9">
        <f>IF(A701="","",IFERROR(INDEX(Lists!$G$2:$G$7,MATCH(A701,Lists!$F$2:$F$7,0)),"?"))</f>
        <v/>
      </c>
      <c r="C701" s="4" t="n"/>
      <c r="D701" s="4" t="n"/>
      <c r="E701" s="4" t="n"/>
      <c r="F701" s="11" t="n"/>
      <c r="G701" s="4" t="n"/>
      <c r="H701" s="11" t="n"/>
      <c r="I701" s="11" t="n"/>
      <c r="J701" s="9">
        <f>IF(OR(F701="",H701=""),"",IF(F701&gt;H701,E701,IF(H701&gt;F701,G701,"")))</f>
        <v/>
      </c>
      <c r="K701" s="4" t="n"/>
      <c r="L701" s="9">
        <f>IF(COUNTA(A701,C701,D701,E701,F701,G701,H701,I701)=0,"",IF(OR(A701="",C701="",E701="",G701=""),"Missing week/class/team",IF(AND(D701="",I701&lt;&gt;"Y"),"No chapter (forfeit?)",IF(AND(D701&lt;&gt;"",I701="Y"),"Forfeit has a chapter",IF(OR(F701="",H701=""),"Missing score",IF(F701=H701,"Tie score",IF(COUNTIFS($A$2:$A$801,A701,$E$2:$E$801,E701)+COUNTIFS($A$2:$A$801,A701,$G$2:$G$801,E701)&gt;1,"Team 1 listed twice this week",IF(COUNTIFS($A$2:$A$801,A701,$E$2:$E$801,G701)+COUNTIFS($A$2:$A$801,A701,$G$2:$G$801,G701)&gt;1,"Team 2 listed twice this week",""))))))))</f>
        <v/>
      </c>
    </row>
    <row r="702">
      <c r="A702" s="11" t="n"/>
      <c r="B702" s="9">
        <f>IF(A702="","",IFERROR(INDEX(Lists!$G$2:$G$7,MATCH(A702,Lists!$F$2:$F$7,0)),"?"))</f>
        <v/>
      </c>
      <c r="C702" s="4" t="n"/>
      <c r="D702" s="4" t="n"/>
      <c r="E702" s="4" t="n"/>
      <c r="F702" s="11" t="n"/>
      <c r="G702" s="4" t="n"/>
      <c r="H702" s="11" t="n"/>
      <c r="I702" s="11" t="n"/>
      <c r="J702" s="9">
        <f>IF(OR(F702="",H702=""),"",IF(F702&gt;H702,E702,IF(H702&gt;F702,G702,"")))</f>
        <v/>
      </c>
      <c r="K702" s="4" t="n"/>
      <c r="L702" s="9">
        <f>IF(COUNTA(A702,C702,D702,E702,F702,G702,H702,I702)=0,"",IF(OR(A702="",C702="",E702="",G702=""),"Missing week/class/team",IF(AND(D702="",I702&lt;&gt;"Y"),"No chapter (forfeit?)",IF(AND(D702&lt;&gt;"",I702="Y"),"Forfeit has a chapter",IF(OR(F702="",H702=""),"Missing score",IF(F702=H702,"Tie score",IF(COUNTIFS($A$2:$A$801,A702,$E$2:$E$801,E702)+COUNTIFS($A$2:$A$801,A702,$G$2:$G$801,E702)&gt;1,"Team 1 listed twice this week",IF(COUNTIFS($A$2:$A$801,A702,$E$2:$E$801,G702)+COUNTIFS($A$2:$A$801,A702,$G$2:$G$801,G702)&gt;1,"Team 2 listed twice this week",""))))))))</f>
        <v/>
      </c>
    </row>
    <row r="703">
      <c r="A703" s="11" t="n"/>
      <c r="B703" s="9">
        <f>IF(A703="","",IFERROR(INDEX(Lists!$G$2:$G$7,MATCH(A703,Lists!$F$2:$F$7,0)),"?"))</f>
        <v/>
      </c>
      <c r="C703" s="4" t="n"/>
      <c r="D703" s="4" t="n"/>
      <c r="E703" s="4" t="n"/>
      <c r="F703" s="11" t="n"/>
      <c r="G703" s="4" t="n"/>
      <c r="H703" s="11" t="n"/>
      <c r="I703" s="11" t="n"/>
      <c r="J703" s="9">
        <f>IF(OR(F703="",H703=""),"",IF(F703&gt;H703,E703,IF(H703&gt;F703,G703,"")))</f>
        <v/>
      </c>
      <c r="K703" s="4" t="n"/>
      <c r="L703" s="9">
        <f>IF(COUNTA(A703,C703,D703,E703,F703,G703,H703,I703)=0,"",IF(OR(A703="",C703="",E703="",G703=""),"Missing week/class/team",IF(AND(D703="",I703&lt;&gt;"Y"),"No chapter (forfeit?)",IF(AND(D703&lt;&gt;"",I703="Y"),"Forfeit has a chapter",IF(OR(F703="",H703=""),"Missing score",IF(F703=H703,"Tie score",IF(COUNTIFS($A$2:$A$801,A703,$E$2:$E$801,E703)+COUNTIFS($A$2:$A$801,A703,$G$2:$G$801,E703)&gt;1,"Team 1 listed twice this week",IF(COUNTIFS($A$2:$A$801,A703,$E$2:$E$801,G703)+COUNTIFS($A$2:$A$801,A703,$G$2:$G$801,G703)&gt;1,"Team 2 listed twice this week",""))))))))</f>
        <v/>
      </c>
    </row>
    <row r="704">
      <c r="A704" s="11" t="n"/>
      <c r="B704" s="9">
        <f>IF(A704="","",IFERROR(INDEX(Lists!$G$2:$G$7,MATCH(A704,Lists!$F$2:$F$7,0)),"?"))</f>
        <v/>
      </c>
      <c r="C704" s="4" t="n"/>
      <c r="D704" s="4" t="n"/>
      <c r="E704" s="4" t="n"/>
      <c r="F704" s="11" t="n"/>
      <c r="G704" s="4" t="n"/>
      <c r="H704" s="11" t="n"/>
      <c r="I704" s="11" t="n"/>
      <c r="J704" s="9">
        <f>IF(OR(F704="",H704=""),"",IF(F704&gt;H704,E704,IF(H704&gt;F704,G704,"")))</f>
        <v/>
      </c>
      <c r="K704" s="4" t="n"/>
      <c r="L704" s="9">
        <f>IF(COUNTA(A704,C704,D704,E704,F704,G704,H704,I704)=0,"",IF(OR(A704="",C704="",E704="",G704=""),"Missing week/class/team",IF(AND(D704="",I704&lt;&gt;"Y"),"No chapter (forfeit?)",IF(AND(D704&lt;&gt;"",I704="Y"),"Forfeit has a chapter",IF(OR(F704="",H704=""),"Missing score",IF(F704=H704,"Tie score",IF(COUNTIFS($A$2:$A$801,A704,$E$2:$E$801,E704)+COUNTIFS($A$2:$A$801,A704,$G$2:$G$801,E704)&gt;1,"Team 1 listed twice this week",IF(COUNTIFS($A$2:$A$801,A704,$E$2:$E$801,G704)+COUNTIFS($A$2:$A$801,A704,$G$2:$G$801,G704)&gt;1,"Team 2 listed twice this week",""))))))))</f>
        <v/>
      </c>
    </row>
    <row r="705">
      <c r="A705" s="11" t="n"/>
      <c r="B705" s="9">
        <f>IF(A705="","",IFERROR(INDEX(Lists!$G$2:$G$7,MATCH(A705,Lists!$F$2:$F$7,0)),"?"))</f>
        <v/>
      </c>
      <c r="C705" s="4" t="n"/>
      <c r="D705" s="4" t="n"/>
      <c r="E705" s="4" t="n"/>
      <c r="F705" s="11" t="n"/>
      <c r="G705" s="4" t="n"/>
      <c r="H705" s="11" t="n"/>
      <c r="I705" s="11" t="n"/>
      <c r="J705" s="9">
        <f>IF(OR(F705="",H705=""),"",IF(F705&gt;H705,E705,IF(H705&gt;F705,G705,"")))</f>
        <v/>
      </c>
      <c r="K705" s="4" t="n"/>
      <c r="L705" s="9">
        <f>IF(COUNTA(A705,C705,D705,E705,F705,G705,H705,I705)=0,"",IF(OR(A705="",C705="",E705="",G705=""),"Missing week/class/team",IF(AND(D705="",I705&lt;&gt;"Y"),"No chapter (forfeit?)",IF(AND(D705&lt;&gt;"",I705="Y"),"Forfeit has a chapter",IF(OR(F705="",H705=""),"Missing score",IF(F705=H705,"Tie score",IF(COUNTIFS($A$2:$A$801,A705,$E$2:$E$801,E705)+COUNTIFS($A$2:$A$801,A705,$G$2:$G$801,E705)&gt;1,"Team 1 listed twice this week",IF(COUNTIFS($A$2:$A$801,A705,$E$2:$E$801,G705)+COUNTIFS($A$2:$A$801,A705,$G$2:$G$801,G705)&gt;1,"Team 2 listed twice this week",""))))))))</f>
        <v/>
      </c>
    </row>
    <row r="706">
      <c r="A706" s="11" t="n"/>
      <c r="B706" s="9">
        <f>IF(A706="","",IFERROR(INDEX(Lists!$G$2:$G$7,MATCH(A706,Lists!$F$2:$F$7,0)),"?"))</f>
        <v/>
      </c>
      <c r="C706" s="4" t="n"/>
      <c r="D706" s="4" t="n"/>
      <c r="E706" s="4" t="n"/>
      <c r="F706" s="11" t="n"/>
      <c r="G706" s="4" t="n"/>
      <c r="H706" s="11" t="n"/>
      <c r="I706" s="11" t="n"/>
      <c r="J706" s="9">
        <f>IF(OR(F706="",H706=""),"",IF(F706&gt;H706,E706,IF(H706&gt;F706,G706,"")))</f>
        <v/>
      </c>
      <c r="K706" s="4" t="n"/>
      <c r="L706" s="9">
        <f>IF(COUNTA(A706,C706,D706,E706,F706,G706,H706,I706)=0,"",IF(OR(A706="",C706="",E706="",G706=""),"Missing week/class/team",IF(AND(D706="",I706&lt;&gt;"Y"),"No chapter (forfeit?)",IF(AND(D706&lt;&gt;"",I706="Y"),"Forfeit has a chapter",IF(OR(F706="",H706=""),"Missing score",IF(F706=H706,"Tie score",IF(COUNTIFS($A$2:$A$801,A706,$E$2:$E$801,E706)+COUNTIFS($A$2:$A$801,A706,$G$2:$G$801,E706)&gt;1,"Team 1 listed twice this week",IF(COUNTIFS($A$2:$A$801,A706,$E$2:$E$801,G706)+COUNTIFS($A$2:$A$801,A706,$G$2:$G$801,G706)&gt;1,"Team 2 listed twice this week",""))))))))</f>
        <v/>
      </c>
    </row>
    <row r="707">
      <c r="A707" s="11" t="n"/>
      <c r="B707" s="9">
        <f>IF(A707="","",IFERROR(INDEX(Lists!$G$2:$G$7,MATCH(A707,Lists!$F$2:$F$7,0)),"?"))</f>
        <v/>
      </c>
      <c r="C707" s="4" t="n"/>
      <c r="D707" s="4" t="n"/>
      <c r="E707" s="4" t="n"/>
      <c r="F707" s="11" t="n"/>
      <c r="G707" s="4" t="n"/>
      <c r="H707" s="11" t="n"/>
      <c r="I707" s="11" t="n"/>
      <c r="J707" s="9">
        <f>IF(OR(F707="",H707=""),"",IF(F707&gt;H707,E707,IF(H707&gt;F707,G707,"")))</f>
        <v/>
      </c>
      <c r="K707" s="4" t="n"/>
      <c r="L707" s="9">
        <f>IF(COUNTA(A707,C707,D707,E707,F707,G707,H707,I707)=0,"",IF(OR(A707="",C707="",E707="",G707=""),"Missing week/class/team",IF(AND(D707="",I707&lt;&gt;"Y"),"No chapter (forfeit?)",IF(AND(D707&lt;&gt;"",I707="Y"),"Forfeit has a chapter",IF(OR(F707="",H707=""),"Missing score",IF(F707=H707,"Tie score",IF(COUNTIFS($A$2:$A$801,A707,$E$2:$E$801,E707)+COUNTIFS($A$2:$A$801,A707,$G$2:$G$801,E707)&gt;1,"Team 1 listed twice this week",IF(COUNTIFS($A$2:$A$801,A707,$E$2:$E$801,G707)+COUNTIFS($A$2:$A$801,A707,$G$2:$G$801,G707)&gt;1,"Team 2 listed twice this week",""))))))))</f>
        <v/>
      </c>
    </row>
    <row r="708">
      <c r="A708" s="11" t="n"/>
      <c r="B708" s="9">
        <f>IF(A708="","",IFERROR(INDEX(Lists!$G$2:$G$7,MATCH(A708,Lists!$F$2:$F$7,0)),"?"))</f>
        <v/>
      </c>
      <c r="C708" s="4" t="n"/>
      <c r="D708" s="4" t="n"/>
      <c r="E708" s="4" t="n"/>
      <c r="F708" s="11" t="n"/>
      <c r="G708" s="4" t="n"/>
      <c r="H708" s="11" t="n"/>
      <c r="I708" s="11" t="n"/>
      <c r="J708" s="9">
        <f>IF(OR(F708="",H708=""),"",IF(F708&gt;H708,E708,IF(H708&gt;F708,G708,"")))</f>
        <v/>
      </c>
      <c r="K708" s="4" t="n"/>
      <c r="L708" s="9">
        <f>IF(COUNTA(A708,C708,D708,E708,F708,G708,H708,I708)=0,"",IF(OR(A708="",C708="",E708="",G708=""),"Missing week/class/team",IF(AND(D708="",I708&lt;&gt;"Y"),"No chapter (forfeit?)",IF(AND(D708&lt;&gt;"",I708="Y"),"Forfeit has a chapter",IF(OR(F708="",H708=""),"Missing score",IF(F708=H708,"Tie score",IF(COUNTIFS($A$2:$A$801,A708,$E$2:$E$801,E708)+COUNTIFS($A$2:$A$801,A708,$G$2:$G$801,E708)&gt;1,"Team 1 listed twice this week",IF(COUNTIFS($A$2:$A$801,A708,$E$2:$E$801,G708)+COUNTIFS($A$2:$A$801,A708,$G$2:$G$801,G708)&gt;1,"Team 2 listed twice this week",""))))))))</f>
        <v/>
      </c>
    </row>
    <row r="709">
      <c r="A709" s="11" t="n"/>
      <c r="B709" s="9">
        <f>IF(A709="","",IFERROR(INDEX(Lists!$G$2:$G$7,MATCH(A709,Lists!$F$2:$F$7,0)),"?"))</f>
        <v/>
      </c>
      <c r="C709" s="4" t="n"/>
      <c r="D709" s="4" t="n"/>
      <c r="E709" s="4" t="n"/>
      <c r="F709" s="11" t="n"/>
      <c r="G709" s="4" t="n"/>
      <c r="H709" s="11" t="n"/>
      <c r="I709" s="11" t="n"/>
      <c r="J709" s="9">
        <f>IF(OR(F709="",H709=""),"",IF(F709&gt;H709,E709,IF(H709&gt;F709,G709,"")))</f>
        <v/>
      </c>
      <c r="K709" s="4" t="n"/>
      <c r="L709" s="9">
        <f>IF(COUNTA(A709,C709,D709,E709,F709,G709,H709,I709)=0,"",IF(OR(A709="",C709="",E709="",G709=""),"Missing week/class/team",IF(AND(D709="",I709&lt;&gt;"Y"),"No chapter (forfeit?)",IF(AND(D709&lt;&gt;"",I709="Y"),"Forfeit has a chapter",IF(OR(F709="",H709=""),"Missing score",IF(F709=H709,"Tie score",IF(COUNTIFS($A$2:$A$801,A709,$E$2:$E$801,E709)+COUNTIFS($A$2:$A$801,A709,$G$2:$G$801,E709)&gt;1,"Team 1 listed twice this week",IF(COUNTIFS($A$2:$A$801,A709,$E$2:$E$801,G709)+COUNTIFS($A$2:$A$801,A709,$G$2:$G$801,G709)&gt;1,"Team 2 listed twice this week",""))))))))</f>
        <v/>
      </c>
    </row>
    <row r="710">
      <c r="A710" s="11" t="n"/>
      <c r="B710" s="9">
        <f>IF(A710="","",IFERROR(INDEX(Lists!$G$2:$G$7,MATCH(A710,Lists!$F$2:$F$7,0)),"?"))</f>
        <v/>
      </c>
      <c r="C710" s="4" t="n"/>
      <c r="D710" s="4" t="n"/>
      <c r="E710" s="4" t="n"/>
      <c r="F710" s="11" t="n"/>
      <c r="G710" s="4" t="n"/>
      <c r="H710" s="11" t="n"/>
      <c r="I710" s="11" t="n"/>
      <c r="J710" s="9">
        <f>IF(OR(F710="",H710=""),"",IF(F710&gt;H710,E710,IF(H710&gt;F710,G710,"")))</f>
        <v/>
      </c>
      <c r="K710" s="4" t="n"/>
      <c r="L710" s="9">
        <f>IF(COUNTA(A710,C710,D710,E710,F710,G710,H710,I710)=0,"",IF(OR(A710="",C710="",E710="",G710=""),"Missing week/class/team",IF(AND(D710="",I710&lt;&gt;"Y"),"No chapter (forfeit?)",IF(AND(D710&lt;&gt;"",I710="Y"),"Forfeit has a chapter",IF(OR(F710="",H710=""),"Missing score",IF(F710=H710,"Tie score",IF(COUNTIFS($A$2:$A$801,A710,$E$2:$E$801,E710)+COUNTIFS($A$2:$A$801,A710,$G$2:$G$801,E710)&gt;1,"Team 1 listed twice this week",IF(COUNTIFS($A$2:$A$801,A710,$E$2:$E$801,G710)+COUNTIFS($A$2:$A$801,A710,$G$2:$G$801,G710)&gt;1,"Team 2 listed twice this week",""))))))))</f>
        <v/>
      </c>
    </row>
    <row r="711">
      <c r="A711" s="11" t="n"/>
      <c r="B711" s="9">
        <f>IF(A711="","",IFERROR(INDEX(Lists!$G$2:$G$7,MATCH(A711,Lists!$F$2:$F$7,0)),"?"))</f>
        <v/>
      </c>
      <c r="C711" s="4" t="n"/>
      <c r="D711" s="4" t="n"/>
      <c r="E711" s="4" t="n"/>
      <c r="F711" s="11" t="n"/>
      <c r="G711" s="4" t="n"/>
      <c r="H711" s="11" t="n"/>
      <c r="I711" s="11" t="n"/>
      <c r="J711" s="9">
        <f>IF(OR(F711="",H711=""),"",IF(F711&gt;H711,E711,IF(H711&gt;F711,G711,"")))</f>
        <v/>
      </c>
      <c r="K711" s="4" t="n"/>
      <c r="L711" s="9">
        <f>IF(COUNTA(A711,C711,D711,E711,F711,G711,H711,I711)=0,"",IF(OR(A711="",C711="",E711="",G711=""),"Missing week/class/team",IF(AND(D711="",I711&lt;&gt;"Y"),"No chapter (forfeit?)",IF(AND(D711&lt;&gt;"",I711="Y"),"Forfeit has a chapter",IF(OR(F711="",H711=""),"Missing score",IF(F711=H711,"Tie score",IF(COUNTIFS($A$2:$A$801,A711,$E$2:$E$801,E711)+COUNTIFS($A$2:$A$801,A711,$G$2:$G$801,E711)&gt;1,"Team 1 listed twice this week",IF(COUNTIFS($A$2:$A$801,A711,$E$2:$E$801,G711)+COUNTIFS($A$2:$A$801,A711,$G$2:$G$801,G711)&gt;1,"Team 2 listed twice this week",""))))))))</f>
        <v/>
      </c>
    </row>
    <row r="712">
      <c r="A712" s="11" t="n"/>
      <c r="B712" s="9">
        <f>IF(A712="","",IFERROR(INDEX(Lists!$G$2:$G$7,MATCH(A712,Lists!$F$2:$F$7,0)),"?"))</f>
        <v/>
      </c>
      <c r="C712" s="4" t="n"/>
      <c r="D712" s="4" t="n"/>
      <c r="E712" s="4" t="n"/>
      <c r="F712" s="11" t="n"/>
      <c r="G712" s="4" t="n"/>
      <c r="H712" s="11" t="n"/>
      <c r="I712" s="11" t="n"/>
      <c r="J712" s="9">
        <f>IF(OR(F712="",H712=""),"",IF(F712&gt;H712,E712,IF(H712&gt;F712,G712,"")))</f>
        <v/>
      </c>
      <c r="K712" s="4" t="n"/>
      <c r="L712" s="9">
        <f>IF(COUNTA(A712,C712,D712,E712,F712,G712,H712,I712)=0,"",IF(OR(A712="",C712="",E712="",G712=""),"Missing week/class/team",IF(AND(D712="",I712&lt;&gt;"Y"),"No chapter (forfeit?)",IF(AND(D712&lt;&gt;"",I712="Y"),"Forfeit has a chapter",IF(OR(F712="",H712=""),"Missing score",IF(F712=H712,"Tie score",IF(COUNTIFS($A$2:$A$801,A712,$E$2:$E$801,E712)+COUNTIFS($A$2:$A$801,A712,$G$2:$G$801,E712)&gt;1,"Team 1 listed twice this week",IF(COUNTIFS($A$2:$A$801,A712,$E$2:$E$801,G712)+COUNTIFS($A$2:$A$801,A712,$G$2:$G$801,G712)&gt;1,"Team 2 listed twice this week",""))))))))</f>
        <v/>
      </c>
    </row>
    <row r="713">
      <c r="A713" s="11" t="n"/>
      <c r="B713" s="9">
        <f>IF(A713="","",IFERROR(INDEX(Lists!$G$2:$G$7,MATCH(A713,Lists!$F$2:$F$7,0)),"?"))</f>
        <v/>
      </c>
      <c r="C713" s="4" t="n"/>
      <c r="D713" s="4" t="n"/>
      <c r="E713" s="4" t="n"/>
      <c r="F713" s="11" t="n"/>
      <c r="G713" s="4" t="n"/>
      <c r="H713" s="11" t="n"/>
      <c r="I713" s="11" t="n"/>
      <c r="J713" s="9">
        <f>IF(OR(F713="",H713=""),"",IF(F713&gt;H713,E713,IF(H713&gt;F713,G713,"")))</f>
        <v/>
      </c>
      <c r="K713" s="4" t="n"/>
      <c r="L713" s="9">
        <f>IF(COUNTA(A713,C713,D713,E713,F713,G713,H713,I713)=0,"",IF(OR(A713="",C713="",E713="",G713=""),"Missing week/class/team",IF(AND(D713="",I713&lt;&gt;"Y"),"No chapter (forfeit?)",IF(AND(D713&lt;&gt;"",I713="Y"),"Forfeit has a chapter",IF(OR(F713="",H713=""),"Missing score",IF(F713=H713,"Tie score",IF(COUNTIFS($A$2:$A$801,A713,$E$2:$E$801,E713)+COUNTIFS($A$2:$A$801,A713,$G$2:$G$801,E713)&gt;1,"Team 1 listed twice this week",IF(COUNTIFS($A$2:$A$801,A713,$E$2:$E$801,G713)+COUNTIFS($A$2:$A$801,A713,$G$2:$G$801,G713)&gt;1,"Team 2 listed twice this week",""))))))))</f>
        <v/>
      </c>
    </row>
    <row r="714">
      <c r="A714" s="11" t="n"/>
      <c r="B714" s="9">
        <f>IF(A714="","",IFERROR(INDEX(Lists!$G$2:$G$7,MATCH(A714,Lists!$F$2:$F$7,0)),"?"))</f>
        <v/>
      </c>
      <c r="C714" s="4" t="n"/>
      <c r="D714" s="4" t="n"/>
      <c r="E714" s="4" t="n"/>
      <c r="F714" s="11" t="n"/>
      <c r="G714" s="4" t="n"/>
      <c r="H714" s="11" t="n"/>
      <c r="I714" s="11" t="n"/>
      <c r="J714" s="9">
        <f>IF(OR(F714="",H714=""),"",IF(F714&gt;H714,E714,IF(H714&gt;F714,G714,"")))</f>
        <v/>
      </c>
      <c r="K714" s="4" t="n"/>
      <c r="L714" s="9">
        <f>IF(COUNTA(A714,C714,D714,E714,F714,G714,H714,I714)=0,"",IF(OR(A714="",C714="",E714="",G714=""),"Missing week/class/team",IF(AND(D714="",I714&lt;&gt;"Y"),"No chapter (forfeit?)",IF(AND(D714&lt;&gt;"",I714="Y"),"Forfeit has a chapter",IF(OR(F714="",H714=""),"Missing score",IF(F714=H714,"Tie score",IF(COUNTIFS($A$2:$A$801,A714,$E$2:$E$801,E714)+COUNTIFS($A$2:$A$801,A714,$G$2:$G$801,E714)&gt;1,"Team 1 listed twice this week",IF(COUNTIFS($A$2:$A$801,A714,$E$2:$E$801,G714)+COUNTIFS($A$2:$A$801,A714,$G$2:$G$801,G714)&gt;1,"Team 2 listed twice this week",""))))))))</f>
        <v/>
      </c>
    </row>
    <row r="715">
      <c r="A715" s="11" t="n"/>
      <c r="B715" s="9">
        <f>IF(A715="","",IFERROR(INDEX(Lists!$G$2:$G$7,MATCH(A715,Lists!$F$2:$F$7,0)),"?"))</f>
        <v/>
      </c>
      <c r="C715" s="4" t="n"/>
      <c r="D715" s="4" t="n"/>
      <c r="E715" s="4" t="n"/>
      <c r="F715" s="11" t="n"/>
      <c r="G715" s="4" t="n"/>
      <c r="H715" s="11" t="n"/>
      <c r="I715" s="11" t="n"/>
      <c r="J715" s="9">
        <f>IF(OR(F715="",H715=""),"",IF(F715&gt;H715,E715,IF(H715&gt;F715,G715,"")))</f>
        <v/>
      </c>
      <c r="K715" s="4" t="n"/>
      <c r="L715" s="9">
        <f>IF(COUNTA(A715,C715,D715,E715,F715,G715,H715,I715)=0,"",IF(OR(A715="",C715="",E715="",G715=""),"Missing week/class/team",IF(AND(D715="",I715&lt;&gt;"Y"),"No chapter (forfeit?)",IF(AND(D715&lt;&gt;"",I715="Y"),"Forfeit has a chapter",IF(OR(F715="",H715=""),"Missing score",IF(F715=H715,"Tie score",IF(COUNTIFS($A$2:$A$801,A715,$E$2:$E$801,E715)+COUNTIFS($A$2:$A$801,A715,$G$2:$G$801,E715)&gt;1,"Team 1 listed twice this week",IF(COUNTIFS($A$2:$A$801,A715,$E$2:$E$801,G715)+COUNTIFS($A$2:$A$801,A715,$G$2:$G$801,G715)&gt;1,"Team 2 listed twice this week",""))))))))</f>
        <v/>
      </c>
    </row>
    <row r="716">
      <c r="A716" s="11" t="n"/>
      <c r="B716" s="9">
        <f>IF(A716="","",IFERROR(INDEX(Lists!$G$2:$G$7,MATCH(A716,Lists!$F$2:$F$7,0)),"?"))</f>
        <v/>
      </c>
      <c r="C716" s="4" t="n"/>
      <c r="D716" s="4" t="n"/>
      <c r="E716" s="4" t="n"/>
      <c r="F716" s="11" t="n"/>
      <c r="G716" s="4" t="n"/>
      <c r="H716" s="11" t="n"/>
      <c r="I716" s="11" t="n"/>
      <c r="J716" s="9">
        <f>IF(OR(F716="",H716=""),"",IF(F716&gt;H716,E716,IF(H716&gt;F716,G716,"")))</f>
        <v/>
      </c>
      <c r="K716" s="4" t="n"/>
      <c r="L716" s="9">
        <f>IF(COUNTA(A716,C716,D716,E716,F716,G716,H716,I716)=0,"",IF(OR(A716="",C716="",E716="",G716=""),"Missing week/class/team",IF(AND(D716="",I716&lt;&gt;"Y"),"No chapter (forfeit?)",IF(AND(D716&lt;&gt;"",I716="Y"),"Forfeit has a chapter",IF(OR(F716="",H716=""),"Missing score",IF(F716=H716,"Tie score",IF(COUNTIFS($A$2:$A$801,A716,$E$2:$E$801,E716)+COUNTIFS($A$2:$A$801,A716,$G$2:$G$801,E716)&gt;1,"Team 1 listed twice this week",IF(COUNTIFS($A$2:$A$801,A716,$E$2:$E$801,G716)+COUNTIFS($A$2:$A$801,A716,$G$2:$G$801,G716)&gt;1,"Team 2 listed twice this week",""))))))))</f>
        <v/>
      </c>
    </row>
    <row r="717">
      <c r="A717" s="11" t="n"/>
      <c r="B717" s="9">
        <f>IF(A717="","",IFERROR(INDEX(Lists!$G$2:$G$7,MATCH(A717,Lists!$F$2:$F$7,0)),"?"))</f>
        <v/>
      </c>
      <c r="C717" s="4" t="n"/>
      <c r="D717" s="4" t="n"/>
      <c r="E717" s="4" t="n"/>
      <c r="F717" s="11" t="n"/>
      <c r="G717" s="4" t="n"/>
      <c r="H717" s="11" t="n"/>
      <c r="I717" s="11" t="n"/>
      <c r="J717" s="9">
        <f>IF(OR(F717="",H717=""),"",IF(F717&gt;H717,E717,IF(H717&gt;F717,G717,"")))</f>
        <v/>
      </c>
      <c r="K717" s="4" t="n"/>
      <c r="L717" s="9">
        <f>IF(COUNTA(A717,C717,D717,E717,F717,G717,H717,I717)=0,"",IF(OR(A717="",C717="",E717="",G717=""),"Missing week/class/team",IF(AND(D717="",I717&lt;&gt;"Y"),"No chapter (forfeit?)",IF(AND(D717&lt;&gt;"",I717="Y"),"Forfeit has a chapter",IF(OR(F717="",H717=""),"Missing score",IF(F717=H717,"Tie score",IF(COUNTIFS($A$2:$A$801,A717,$E$2:$E$801,E717)+COUNTIFS($A$2:$A$801,A717,$G$2:$G$801,E717)&gt;1,"Team 1 listed twice this week",IF(COUNTIFS($A$2:$A$801,A717,$E$2:$E$801,G717)+COUNTIFS($A$2:$A$801,A717,$G$2:$G$801,G717)&gt;1,"Team 2 listed twice this week",""))))))))</f>
        <v/>
      </c>
    </row>
    <row r="718">
      <c r="A718" s="11" t="n"/>
      <c r="B718" s="9">
        <f>IF(A718="","",IFERROR(INDEX(Lists!$G$2:$G$7,MATCH(A718,Lists!$F$2:$F$7,0)),"?"))</f>
        <v/>
      </c>
      <c r="C718" s="4" t="n"/>
      <c r="D718" s="4" t="n"/>
      <c r="E718" s="4" t="n"/>
      <c r="F718" s="11" t="n"/>
      <c r="G718" s="4" t="n"/>
      <c r="H718" s="11" t="n"/>
      <c r="I718" s="11" t="n"/>
      <c r="J718" s="9">
        <f>IF(OR(F718="",H718=""),"",IF(F718&gt;H718,E718,IF(H718&gt;F718,G718,"")))</f>
        <v/>
      </c>
      <c r="K718" s="4" t="n"/>
      <c r="L718" s="9">
        <f>IF(COUNTA(A718,C718,D718,E718,F718,G718,H718,I718)=0,"",IF(OR(A718="",C718="",E718="",G718=""),"Missing week/class/team",IF(AND(D718="",I718&lt;&gt;"Y"),"No chapter (forfeit?)",IF(AND(D718&lt;&gt;"",I718="Y"),"Forfeit has a chapter",IF(OR(F718="",H718=""),"Missing score",IF(F718=H718,"Tie score",IF(COUNTIFS($A$2:$A$801,A718,$E$2:$E$801,E718)+COUNTIFS($A$2:$A$801,A718,$G$2:$G$801,E718)&gt;1,"Team 1 listed twice this week",IF(COUNTIFS($A$2:$A$801,A718,$E$2:$E$801,G718)+COUNTIFS($A$2:$A$801,A718,$G$2:$G$801,G718)&gt;1,"Team 2 listed twice this week",""))))))))</f>
        <v/>
      </c>
    </row>
    <row r="719">
      <c r="A719" s="11" t="n"/>
      <c r="B719" s="9">
        <f>IF(A719="","",IFERROR(INDEX(Lists!$G$2:$G$7,MATCH(A719,Lists!$F$2:$F$7,0)),"?"))</f>
        <v/>
      </c>
      <c r="C719" s="4" t="n"/>
      <c r="D719" s="4" t="n"/>
      <c r="E719" s="4" t="n"/>
      <c r="F719" s="11" t="n"/>
      <c r="G719" s="4" t="n"/>
      <c r="H719" s="11" t="n"/>
      <c r="I719" s="11" t="n"/>
      <c r="J719" s="9">
        <f>IF(OR(F719="",H719=""),"",IF(F719&gt;H719,E719,IF(H719&gt;F719,G719,"")))</f>
        <v/>
      </c>
      <c r="K719" s="4" t="n"/>
      <c r="L719" s="9">
        <f>IF(COUNTA(A719,C719,D719,E719,F719,G719,H719,I719)=0,"",IF(OR(A719="",C719="",E719="",G719=""),"Missing week/class/team",IF(AND(D719="",I719&lt;&gt;"Y"),"No chapter (forfeit?)",IF(AND(D719&lt;&gt;"",I719="Y"),"Forfeit has a chapter",IF(OR(F719="",H719=""),"Missing score",IF(F719=H719,"Tie score",IF(COUNTIFS($A$2:$A$801,A719,$E$2:$E$801,E719)+COUNTIFS($A$2:$A$801,A719,$G$2:$G$801,E719)&gt;1,"Team 1 listed twice this week",IF(COUNTIFS($A$2:$A$801,A719,$E$2:$E$801,G719)+COUNTIFS($A$2:$A$801,A719,$G$2:$G$801,G719)&gt;1,"Team 2 listed twice this week",""))))))))</f>
        <v/>
      </c>
    </row>
    <row r="720">
      <c r="A720" s="11" t="n"/>
      <c r="B720" s="9">
        <f>IF(A720="","",IFERROR(INDEX(Lists!$G$2:$G$7,MATCH(A720,Lists!$F$2:$F$7,0)),"?"))</f>
        <v/>
      </c>
      <c r="C720" s="4" t="n"/>
      <c r="D720" s="4" t="n"/>
      <c r="E720" s="4" t="n"/>
      <c r="F720" s="11" t="n"/>
      <c r="G720" s="4" t="n"/>
      <c r="H720" s="11" t="n"/>
      <c r="I720" s="11" t="n"/>
      <c r="J720" s="9">
        <f>IF(OR(F720="",H720=""),"",IF(F720&gt;H720,E720,IF(H720&gt;F720,G720,"")))</f>
        <v/>
      </c>
      <c r="K720" s="4" t="n"/>
      <c r="L720" s="9">
        <f>IF(COUNTA(A720,C720,D720,E720,F720,G720,H720,I720)=0,"",IF(OR(A720="",C720="",E720="",G720=""),"Missing week/class/team",IF(AND(D720="",I720&lt;&gt;"Y"),"No chapter (forfeit?)",IF(AND(D720&lt;&gt;"",I720="Y"),"Forfeit has a chapter",IF(OR(F720="",H720=""),"Missing score",IF(F720=H720,"Tie score",IF(COUNTIFS($A$2:$A$801,A720,$E$2:$E$801,E720)+COUNTIFS($A$2:$A$801,A720,$G$2:$G$801,E720)&gt;1,"Team 1 listed twice this week",IF(COUNTIFS($A$2:$A$801,A720,$E$2:$E$801,G720)+COUNTIFS($A$2:$A$801,A720,$G$2:$G$801,G720)&gt;1,"Team 2 listed twice this week",""))))))))</f>
        <v/>
      </c>
    </row>
    <row r="721">
      <c r="A721" s="11" t="n"/>
      <c r="B721" s="9">
        <f>IF(A721="","",IFERROR(INDEX(Lists!$G$2:$G$7,MATCH(A721,Lists!$F$2:$F$7,0)),"?"))</f>
        <v/>
      </c>
      <c r="C721" s="4" t="n"/>
      <c r="D721" s="4" t="n"/>
      <c r="E721" s="4" t="n"/>
      <c r="F721" s="11" t="n"/>
      <c r="G721" s="4" t="n"/>
      <c r="H721" s="11" t="n"/>
      <c r="I721" s="11" t="n"/>
      <c r="J721" s="9">
        <f>IF(OR(F721="",H721=""),"",IF(F721&gt;H721,E721,IF(H721&gt;F721,G721,"")))</f>
        <v/>
      </c>
      <c r="K721" s="4" t="n"/>
      <c r="L721" s="9">
        <f>IF(COUNTA(A721,C721,D721,E721,F721,G721,H721,I721)=0,"",IF(OR(A721="",C721="",E721="",G721=""),"Missing week/class/team",IF(AND(D721="",I721&lt;&gt;"Y"),"No chapter (forfeit?)",IF(AND(D721&lt;&gt;"",I721="Y"),"Forfeit has a chapter",IF(OR(F721="",H721=""),"Missing score",IF(F721=H721,"Tie score",IF(COUNTIFS($A$2:$A$801,A721,$E$2:$E$801,E721)+COUNTIFS($A$2:$A$801,A721,$G$2:$G$801,E721)&gt;1,"Team 1 listed twice this week",IF(COUNTIFS($A$2:$A$801,A721,$E$2:$E$801,G721)+COUNTIFS($A$2:$A$801,A721,$G$2:$G$801,G721)&gt;1,"Team 2 listed twice this week",""))))))))</f>
        <v/>
      </c>
    </row>
    <row r="722">
      <c r="A722" s="11" t="n"/>
      <c r="B722" s="9">
        <f>IF(A722="","",IFERROR(INDEX(Lists!$G$2:$G$7,MATCH(A722,Lists!$F$2:$F$7,0)),"?"))</f>
        <v/>
      </c>
      <c r="C722" s="4" t="n"/>
      <c r="D722" s="4" t="n"/>
      <c r="E722" s="4" t="n"/>
      <c r="F722" s="11" t="n"/>
      <c r="G722" s="4" t="n"/>
      <c r="H722" s="11" t="n"/>
      <c r="I722" s="11" t="n"/>
      <c r="J722" s="9">
        <f>IF(OR(F722="",H722=""),"",IF(F722&gt;H722,E722,IF(H722&gt;F722,G722,"")))</f>
        <v/>
      </c>
      <c r="K722" s="4" t="n"/>
      <c r="L722" s="9">
        <f>IF(COUNTA(A722,C722,D722,E722,F722,G722,H722,I722)=0,"",IF(OR(A722="",C722="",E722="",G722=""),"Missing week/class/team",IF(AND(D722="",I722&lt;&gt;"Y"),"No chapter (forfeit?)",IF(AND(D722&lt;&gt;"",I722="Y"),"Forfeit has a chapter",IF(OR(F722="",H722=""),"Missing score",IF(F722=H722,"Tie score",IF(COUNTIFS($A$2:$A$801,A722,$E$2:$E$801,E722)+COUNTIFS($A$2:$A$801,A722,$G$2:$G$801,E722)&gt;1,"Team 1 listed twice this week",IF(COUNTIFS($A$2:$A$801,A722,$E$2:$E$801,G722)+COUNTIFS($A$2:$A$801,A722,$G$2:$G$801,G722)&gt;1,"Team 2 listed twice this week",""))))))))</f>
        <v/>
      </c>
    </row>
    <row r="723">
      <c r="A723" s="11" t="n"/>
      <c r="B723" s="9">
        <f>IF(A723="","",IFERROR(INDEX(Lists!$G$2:$G$7,MATCH(A723,Lists!$F$2:$F$7,0)),"?"))</f>
        <v/>
      </c>
      <c r="C723" s="4" t="n"/>
      <c r="D723" s="4" t="n"/>
      <c r="E723" s="4" t="n"/>
      <c r="F723" s="11" t="n"/>
      <c r="G723" s="4" t="n"/>
      <c r="H723" s="11" t="n"/>
      <c r="I723" s="11" t="n"/>
      <c r="J723" s="9">
        <f>IF(OR(F723="",H723=""),"",IF(F723&gt;H723,E723,IF(H723&gt;F723,G723,"")))</f>
        <v/>
      </c>
      <c r="K723" s="4" t="n"/>
      <c r="L723" s="9">
        <f>IF(COUNTA(A723,C723,D723,E723,F723,G723,H723,I723)=0,"",IF(OR(A723="",C723="",E723="",G723=""),"Missing week/class/team",IF(AND(D723="",I723&lt;&gt;"Y"),"No chapter (forfeit?)",IF(AND(D723&lt;&gt;"",I723="Y"),"Forfeit has a chapter",IF(OR(F723="",H723=""),"Missing score",IF(F723=H723,"Tie score",IF(COUNTIFS($A$2:$A$801,A723,$E$2:$E$801,E723)+COUNTIFS($A$2:$A$801,A723,$G$2:$G$801,E723)&gt;1,"Team 1 listed twice this week",IF(COUNTIFS($A$2:$A$801,A723,$E$2:$E$801,G723)+COUNTIFS($A$2:$A$801,A723,$G$2:$G$801,G723)&gt;1,"Team 2 listed twice this week",""))))))))</f>
        <v/>
      </c>
    </row>
    <row r="724">
      <c r="A724" s="11" t="n"/>
      <c r="B724" s="9">
        <f>IF(A724="","",IFERROR(INDEX(Lists!$G$2:$G$7,MATCH(A724,Lists!$F$2:$F$7,0)),"?"))</f>
        <v/>
      </c>
      <c r="C724" s="4" t="n"/>
      <c r="D724" s="4" t="n"/>
      <c r="E724" s="4" t="n"/>
      <c r="F724" s="11" t="n"/>
      <c r="G724" s="4" t="n"/>
      <c r="H724" s="11" t="n"/>
      <c r="I724" s="11" t="n"/>
      <c r="J724" s="9">
        <f>IF(OR(F724="",H724=""),"",IF(F724&gt;H724,E724,IF(H724&gt;F724,G724,"")))</f>
        <v/>
      </c>
      <c r="K724" s="4" t="n"/>
      <c r="L724" s="9">
        <f>IF(COUNTA(A724,C724,D724,E724,F724,G724,H724,I724)=0,"",IF(OR(A724="",C724="",E724="",G724=""),"Missing week/class/team",IF(AND(D724="",I724&lt;&gt;"Y"),"No chapter (forfeit?)",IF(AND(D724&lt;&gt;"",I724="Y"),"Forfeit has a chapter",IF(OR(F724="",H724=""),"Missing score",IF(F724=H724,"Tie score",IF(COUNTIFS($A$2:$A$801,A724,$E$2:$E$801,E724)+COUNTIFS($A$2:$A$801,A724,$G$2:$G$801,E724)&gt;1,"Team 1 listed twice this week",IF(COUNTIFS($A$2:$A$801,A724,$E$2:$E$801,G724)+COUNTIFS($A$2:$A$801,A724,$G$2:$G$801,G724)&gt;1,"Team 2 listed twice this week",""))))))))</f>
        <v/>
      </c>
    </row>
    <row r="725">
      <c r="A725" s="11" t="n"/>
      <c r="B725" s="9">
        <f>IF(A725="","",IFERROR(INDEX(Lists!$G$2:$G$7,MATCH(A725,Lists!$F$2:$F$7,0)),"?"))</f>
        <v/>
      </c>
      <c r="C725" s="4" t="n"/>
      <c r="D725" s="4" t="n"/>
      <c r="E725" s="4" t="n"/>
      <c r="F725" s="11" t="n"/>
      <c r="G725" s="4" t="n"/>
      <c r="H725" s="11" t="n"/>
      <c r="I725" s="11" t="n"/>
      <c r="J725" s="9">
        <f>IF(OR(F725="",H725=""),"",IF(F725&gt;H725,E725,IF(H725&gt;F725,G725,"")))</f>
        <v/>
      </c>
      <c r="K725" s="4" t="n"/>
      <c r="L725" s="9">
        <f>IF(COUNTA(A725,C725,D725,E725,F725,G725,H725,I725)=0,"",IF(OR(A725="",C725="",E725="",G725=""),"Missing week/class/team",IF(AND(D725="",I725&lt;&gt;"Y"),"No chapter (forfeit?)",IF(AND(D725&lt;&gt;"",I725="Y"),"Forfeit has a chapter",IF(OR(F725="",H725=""),"Missing score",IF(F725=H725,"Tie score",IF(COUNTIFS($A$2:$A$801,A725,$E$2:$E$801,E725)+COUNTIFS($A$2:$A$801,A725,$G$2:$G$801,E725)&gt;1,"Team 1 listed twice this week",IF(COUNTIFS($A$2:$A$801,A725,$E$2:$E$801,G725)+COUNTIFS($A$2:$A$801,A725,$G$2:$G$801,G725)&gt;1,"Team 2 listed twice this week",""))))))))</f>
        <v/>
      </c>
    </row>
    <row r="726">
      <c r="A726" s="11" t="n"/>
      <c r="B726" s="9">
        <f>IF(A726="","",IFERROR(INDEX(Lists!$G$2:$G$7,MATCH(A726,Lists!$F$2:$F$7,0)),"?"))</f>
        <v/>
      </c>
      <c r="C726" s="4" t="n"/>
      <c r="D726" s="4" t="n"/>
      <c r="E726" s="4" t="n"/>
      <c r="F726" s="11" t="n"/>
      <c r="G726" s="4" t="n"/>
      <c r="H726" s="11" t="n"/>
      <c r="I726" s="11" t="n"/>
      <c r="J726" s="9">
        <f>IF(OR(F726="",H726=""),"",IF(F726&gt;H726,E726,IF(H726&gt;F726,G726,"")))</f>
        <v/>
      </c>
      <c r="K726" s="4" t="n"/>
      <c r="L726" s="9">
        <f>IF(COUNTA(A726,C726,D726,E726,F726,G726,H726,I726)=0,"",IF(OR(A726="",C726="",E726="",G726=""),"Missing week/class/team",IF(AND(D726="",I726&lt;&gt;"Y"),"No chapter (forfeit?)",IF(AND(D726&lt;&gt;"",I726="Y"),"Forfeit has a chapter",IF(OR(F726="",H726=""),"Missing score",IF(F726=H726,"Tie score",IF(COUNTIFS($A$2:$A$801,A726,$E$2:$E$801,E726)+COUNTIFS($A$2:$A$801,A726,$G$2:$G$801,E726)&gt;1,"Team 1 listed twice this week",IF(COUNTIFS($A$2:$A$801,A726,$E$2:$E$801,G726)+COUNTIFS($A$2:$A$801,A726,$G$2:$G$801,G726)&gt;1,"Team 2 listed twice this week",""))))))))</f>
        <v/>
      </c>
    </row>
    <row r="727">
      <c r="A727" s="11" t="n"/>
      <c r="B727" s="9">
        <f>IF(A727="","",IFERROR(INDEX(Lists!$G$2:$G$7,MATCH(A727,Lists!$F$2:$F$7,0)),"?"))</f>
        <v/>
      </c>
      <c r="C727" s="4" t="n"/>
      <c r="D727" s="4" t="n"/>
      <c r="E727" s="4" t="n"/>
      <c r="F727" s="11" t="n"/>
      <c r="G727" s="4" t="n"/>
      <c r="H727" s="11" t="n"/>
      <c r="I727" s="11" t="n"/>
      <c r="J727" s="9">
        <f>IF(OR(F727="",H727=""),"",IF(F727&gt;H727,E727,IF(H727&gt;F727,G727,"")))</f>
        <v/>
      </c>
      <c r="K727" s="4" t="n"/>
      <c r="L727" s="9">
        <f>IF(COUNTA(A727,C727,D727,E727,F727,G727,H727,I727)=0,"",IF(OR(A727="",C727="",E727="",G727=""),"Missing week/class/team",IF(AND(D727="",I727&lt;&gt;"Y"),"No chapter (forfeit?)",IF(AND(D727&lt;&gt;"",I727="Y"),"Forfeit has a chapter",IF(OR(F727="",H727=""),"Missing score",IF(F727=H727,"Tie score",IF(COUNTIFS($A$2:$A$801,A727,$E$2:$E$801,E727)+COUNTIFS($A$2:$A$801,A727,$G$2:$G$801,E727)&gt;1,"Team 1 listed twice this week",IF(COUNTIFS($A$2:$A$801,A727,$E$2:$E$801,G727)+COUNTIFS($A$2:$A$801,A727,$G$2:$G$801,G727)&gt;1,"Team 2 listed twice this week",""))))))))</f>
        <v/>
      </c>
    </row>
    <row r="728">
      <c r="A728" s="11" t="n"/>
      <c r="B728" s="9">
        <f>IF(A728="","",IFERROR(INDEX(Lists!$G$2:$G$7,MATCH(A728,Lists!$F$2:$F$7,0)),"?"))</f>
        <v/>
      </c>
      <c r="C728" s="4" t="n"/>
      <c r="D728" s="4" t="n"/>
      <c r="E728" s="4" t="n"/>
      <c r="F728" s="11" t="n"/>
      <c r="G728" s="4" t="n"/>
      <c r="H728" s="11" t="n"/>
      <c r="I728" s="11" t="n"/>
      <c r="J728" s="9">
        <f>IF(OR(F728="",H728=""),"",IF(F728&gt;H728,E728,IF(H728&gt;F728,G728,"")))</f>
        <v/>
      </c>
      <c r="K728" s="4" t="n"/>
      <c r="L728" s="9">
        <f>IF(COUNTA(A728,C728,D728,E728,F728,G728,H728,I728)=0,"",IF(OR(A728="",C728="",E728="",G728=""),"Missing week/class/team",IF(AND(D728="",I728&lt;&gt;"Y"),"No chapter (forfeit?)",IF(AND(D728&lt;&gt;"",I728="Y"),"Forfeit has a chapter",IF(OR(F728="",H728=""),"Missing score",IF(F728=H728,"Tie score",IF(COUNTIFS($A$2:$A$801,A728,$E$2:$E$801,E728)+COUNTIFS($A$2:$A$801,A728,$G$2:$G$801,E728)&gt;1,"Team 1 listed twice this week",IF(COUNTIFS($A$2:$A$801,A728,$E$2:$E$801,G728)+COUNTIFS($A$2:$A$801,A728,$G$2:$G$801,G728)&gt;1,"Team 2 listed twice this week",""))))))))</f>
        <v/>
      </c>
    </row>
    <row r="729">
      <c r="A729" s="11" t="n"/>
      <c r="B729" s="9">
        <f>IF(A729="","",IFERROR(INDEX(Lists!$G$2:$G$7,MATCH(A729,Lists!$F$2:$F$7,0)),"?"))</f>
        <v/>
      </c>
      <c r="C729" s="4" t="n"/>
      <c r="D729" s="4" t="n"/>
      <c r="E729" s="4" t="n"/>
      <c r="F729" s="11" t="n"/>
      <c r="G729" s="4" t="n"/>
      <c r="H729" s="11" t="n"/>
      <c r="I729" s="11" t="n"/>
      <c r="J729" s="9">
        <f>IF(OR(F729="",H729=""),"",IF(F729&gt;H729,E729,IF(H729&gt;F729,G729,"")))</f>
        <v/>
      </c>
      <c r="K729" s="4" t="n"/>
      <c r="L729" s="9">
        <f>IF(COUNTA(A729,C729,D729,E729,F729,G729,H729,I729)=0,"",IF(OR(A729="",C729="",E729="",G729=""),"Missing week/class/team",IF(AND(D729="",I729&lt;&gt;"Y"),"No chapter (forfeit?)",IF(AND(D729&lt;&gt;"",I729="Y"),"Forfeit has a chapter",IF(OR(F729="",H729=""),"Missing score",IF(F729=H729,"Tie score",IF(COUNTIFS($A$2:$A$801,A729,$E$2:$E$801,E729)+COUNTIFS($A$2:$A$801,A729,$G$2:$G$801,E729)&gt;1,"Team 1 listed twice this week",IF(COUNTIFS($A$2:$A$801,A729,$E$2:$E$801,G729)+COUNTIFS($A$2:$A$801,A729,$G$2:$G$801,G729)&gt;1,"Team 2 listed twice this week",""))))))))</f>
        <v/>
      </c>
    </row>
    <row r="730">
      <c r="A730" s="11" t="n"/>
      <c r="B730" s="9">
        <f>IF(A730="","",IFERROR(INDEX(Lists!$G$2:$G$7,MATCH(A730,Lists!$F$2:$F$7,0)),"?"))</f>
        <v/>
      </c>
      <c r="C730" s="4" t="n"/>
      <c r="D730" s="4" t="n"/>
      <c r="E730" s="4" t="n"/>
      <c r="F730" s="11" t="n"/>
      <c r="G730" s="4" t="n"/>
      <c r="H730" s="11" t="n"/>
      <c r="I730" s="11" t="n"/>
      <c r="J730" s="9">
        <f>IF(OR(F730="",H730=""),"",IF(F730&gt;H730,E730,IF(H730&gt;F730,G730,"")))</f>
        <v/>
      </c>
      <c r="K730" s="4" t="n"/>
      <c r="L730" s="9">
        <f>IF(COUNTA(A730,C730,D730,E730,F730,G730,H730,I730)=0,"",IF(OR(A730="",C730="",E730="",G730=""),"Missing week/class/team",IF(AND(D730="",I730&lt;&gt;"Y"),"No chapter (forfeit?)",IF(AND(D730&lt;&gt;"",I730="Y"),"Forfeit has a chapter",IF(OR(F730="",H730=""),"Missing score",IF(F730=H730,"Tie score",IF(COUNTIFS($A$2:$A$801,A730,$E$2:$E$801,E730)+COUNTIFS($A$2:$A$801,A730,$G$2:$G$801,E730)&gt;1,"Team 1 listed twice this week",IF(COUNTIFS($A$2:$A$801,A730,$E$2:$E$801,G730)+COUNTIFS($A$2:$A$801,A730,$G$2:$G$801,G730)&gt;1,"Team 2 listed twice this week",""))))))))</f>
        <v/>
      </c>
    </row>
    <row r="731">
      <c r="A731" s="11" t="n"/>
      <c r="B731" s="9">
        <f>IF(A731="","",IFERROR(INDEX(Lists!$G$2:$G$7,MATCH(A731,Lists!$F$2:$F$7,0)),"?"))</f>
        <v/>
      </c>
      <c r="C731" s="4" t="n"/>
      <c r="D731" s="4" t="n"/>
      <c r="E731" s="4" t="n"/>
      <c r="F731" s="11" t="n"/>
      <c r="G731" s="4" t="n"/>
      <c r="H731" s="11" t="n"/>
      <c r="I731" s="11" t="n"/>
      <c r="J731" s="9">
        <f>IF(OR(F731="",H731=""),"",IF(F731&gt;H731,E731,IF(H731&gt;F731,G731,"")))</f>
        <v/>
      </c>
      <c r="K731" s="4" t="n"/>
      <c r="L731" s="9">
        <f>IF(COUNTA(A731,C731,D731,E731,F731,G731,H731,I731)=0,"",IF(OR(A731="",C731="",E731="",G731=""),"Missing week/class/team",IF(AND(D731="",I731&lt;&gt;"Y"),"No chapter (forfeit?)",IF(AND(D731&lt;&gt;"",I731="Y"),"Forfeit has a chapter",IF(OR(F731="",H731=""),"Missing score",IF(F731=H731,"Tie score",IF(COUNTIFS($A$2:$A$801,A731,$E$2:$E$801,E731)+COUNTIFS($A$2:$A$801,A731,$G$2:$G$801,E731)&gt;1,"Team 1 listed twice this week",IF(COUNTIFS($A$2:$A$801,A731,$E$2:$E$801,G731)+COUNTIFS($A$2:$A$801,A731,$G$2:$G$801,G731)&gt;1,"Team 2 listed twice this week",""))))))))</f>
        <v/>
      </c>
    </row>
    <row r="732">
      <c r="A732" s="11" t="n"/>
      <c r="B732" s="9">
        <f>IF(A732="","",IFERROR(INDEX(Lists!$G$2:$G$7,MATCH(A732,Lists!$F$2:$F$7,0)),"?"))</f>
        <v/>
      </c>
      <c r="C732" s="4" t="n"/>
      <c r="D732" s="4" t="n"/>
      <c r="E732" s="4" t="n"/>
      <c r="F732" s="11" t="n"/>
      <c r="G732" s="4" t="n"/>
      <c r="H732" s="11" t="n"/>
      <c r="I732" s="11" t="n"/>
      <c r="J732" s="9">
        <f>IF(OR(F732="",H732=""),"",IF(F732&gt;H732,E732,IF(H732&gt;F732,G732,"")))</f>
        <v/>
      </c>
      <c r="K732" s="4" t="n"/>
      <c r="L732" s="9">
        <f>IF(COUNTA(A732,C732,D732,E732,F732,G732,H732,I732)=0,"",IF(OR(A732="",C732="",E732="",G732=""),"Missing week/class/team",IF(AND(D732="",I732&lt;&gt;"Y"),"No chapter (forfeit?)",IF(AND(D732&lt;&gt;"",I732="Y"),"Forfeit has a chapter",IF(OR(F732="",H732=""),"Missing score",IF(F732=H732,"Tie score",IF(COUNTIFS($A$2:$A$801,A732,$E$2:$E$801,E732)+COUNTIFS($A$2:$A$801,A732,$G$2:$G$801,E732)&gt;1,"Team 1 listed twice this week",IF(COUNTIFS($A$2:$A$801,A732,$E$2:$E$801,G732)+COUNTIFS($A$2:$A$801,A732,$G$2:$G$801,G732)&gt;1,"Team 2 listed twice this week",""))))))))</f>
        <v/>
      </c>
    </row>
    <row r="733">
      <c r="A733" s="11" t="n"/>
      <c r="B733" s="9">
        <f>IF(A733="","",IFERROR(INDEX(Lists!$G$2:$G$7,MATCH(A733,Lists!$F$2:$F$7,0)),"?"))</f>
        <v/>
      </c>
      <c r="C733" s="4" t="n"/>
      <c r="D733" s="4" t="n"/>
      <c r="E733" s="4" t="n"/>
      <c r="F733" s="11" t="n"/>
      <c r="G733" s="4" t="n"/>
      <c r="H733" s="11" t="n"/>
      <c r="I733" s="11" t="n"/>
      <c r="J733" s="9">
        <f>IF(OR(F733="",H733=""),"",IF(F733&gt;H733,E733,IF(H733&gt;F733,G733,"")))</f>
        <v/>
      </c>
      <c r="K733" s="4" t="n"/>
      <c r="L733" s="9">
        <f>IF(COUNTA(A733,C733,D733,E733,F733,G733,H733,I733)=0,"",IF(OR(A733="",C733="",E733="",G733=""),"Missing week/class/team",IF(AND(D733="",I733&lt;&gt;"Y"),"No chapter (forfeit?)",IF(AND(D733&lt;&gt;"",I733="Y"),"Forfeit has a chapter",IF(OR(F733="",H733=""),"Missing score",IF(F733=H733,"Tie score",IF(COUNTIFS($A$2:$A$801,A733,$E$2:$E$801,E733)+COUNTIFS($A$2:$A$801,A733,$G$2:$G$801,E733)&gt;1,"Team 1 listed twice this week",IF(COUNTIFS($A$2:$A$801,A733,$E$2:$E$801,G733)+COUNTIFS($A$2:$A$801,A733,$G$2:$G$801,G733)&gt;1,"Team 2 listed twice this week",""))))))))</f>
        <v/>
      </c>
    </row>
    <row r="734">
      <c r="A734" s="11" t="n"/>
      <c r="B734" s="9">
        <f>IF(A734="","",IFERROR(INDEX(Lists!$G$2:$G$7,MATCH(A734,Lists!$F$2:$F$7,0)),"?"))</f>
        <v/>
      </c>
      <c r="C734" s="4" t="n"/>
      <c r="D734" s="4" t="n"/>
      <c r="E734" s="4" t="n"/>
      <c r="F734" s="11" t="n"/>
      <c r="G734" s="4" t="n"/>
      <c r="H734" s="11" t="n"/>
      <c r="I734" s="11" t="n"/>
      <c r="J734" s="9">
        <f>IF(OR(F734="",H734=""),"",IF(F734&gt;H734,E734,IF(H734&gt;F734,G734,"")))</f>
        <v/>
      </c>
      <c r="K734" s="4" t="n"/>
      <c r="L734" s="9">
        <f>IF(COUNTA(A734,C734,D734,E734,F734,G734,H734,I734)=0,"",IF(OR(A734="",C734="",E734="",G734=""),"Missing week/class/team",IF(AND(D734="",I734&lt;&gt;"Y"),"No chapter (forfeit?)",IF(AND(D734&lt;&gt;"",I734="Y"),"Forfeit has a chapter",IF(OR(F734="",H734=""),"Missing score",IF(F734=H734,"Tie score",IF(COUNTIFS($A$2:$A$801,A734,$E$2:$E$801,E734)+COUNTIFS($A$2:$A$801,A734,$G$2:$G$801,E734)&gt;1,"Team 1 listed twice this week",IF(COUNTIFS($A$2:$A$801,A734,$E$2:$E$801,G734)+COUNTIFS($A$2:$A$801,A734,$G$2:$G$801,G734)&gt;1,"Team 2 listed twice this week",""))))))))</f>
        <v/>
      </c>
    </row>
    <row r="735">
      <c r="A735" s="11" t="n"/>
      <c r="B735" s="9">
        <f>IF(A735="","",IFERROR(INDEX(Lists!$G$2:$G$7,MATCH(A735,Lists!$F$2:$F$7,0)),"?"))</f>
        <v/>
      </c>
      <c r="C735" s="4" t="n"/>
      <c r="D735" s="4" t="n"/>
      <c r="E735" s="4" t="n"/>
      <c r="F735" s="11" t="n"/>
      <c r="G735" s="4" t="n"/>
      <c r="H735" s="11" t="n"/>
      <c r="I735" s="11" t="n"/>
      <c r="J735" s="9">
        <f>IF(OR(F735="",H735=""),"",IF(F735&gt;H735,E735,IF(H735&gt;F735,G735,"")))</f>
        <v/>
      </c>
      <c r="K735" s="4" t="n"/>
      <c r="L735" s="9">
        <f>IF(COUNTA(A735,C735,D735,E735,F735,G735,H735,I735)=0,"",IF(OR(A735="",C735="",E735="",G735=""),"Missing week/class/team",IF(AND(D735="",I735&lt;&gt;"Y"),"No chapter (forfeit?)",IF(AND(D735&lt;&gt;"",I735="Y"),"Forfeit has a chapter",IF(OR(F735="",H735=""),"Missing score",IF(F735=H735,"Tie score",IF(COUNTIFS($A$2:$A$801,A735,$E$2:$E$801,E735)+COUNTIFS($A$2:$A$801,A735,$G$2:$G$801,E735)&gt;1,"Team 1 listed twice this week",IF(COUNTIFS($A$2:$A$801,A735,$E$2:$E$801,G735)+COUNTIFS($A$2:$A$801,A735,$G$2:$G$801,G735)&gt;1,"Team 2 listed twice this week",""))))))))</f>
        <v/>
      </c>
    </row>
    <row r="736">
      <c r="A736" s="11" t="n"/>
      <c r="B736" s="9">
        <f>IF(A736="","",IFERROR(INDEX(Lists!$G$2:$G$7,MATCH(A736,Lists!$F$2:$F$7,0)),"?"))</f>
        <v/>
      </c>
      <c r="C736" s="4" t="n"/>
      <c r="D736" s="4" t="n"/>
      <c r="E736" s="4" t="n"/>
      <c r="F736" s="11" t="n"/>
      <c r="G736" s="4" t="n"/>
      <c r="H736" s="11" t="n"/>
      <c r="I736" s="11" t="n"/>
      <c r="J736" s="9">
        <f>IF(OR(F736="",H736=""),"",IF(F736&gt;H736,E736,IF(H736&gt;F736,G736,"")))</f>
        <v/>
      </c>
      <c r="K736" s="4" t="n"/>
      <c r="L736" s="9">
        <f>IF(COUNTA(A736,C736,D736,E736,F736,G736,H736,I736)=0,"",IF(OR(A736="",C736="",E736="",G736=""),"Missing week/class/team",IF(AND(D736="",I736&lt;&gt;"Y"),"No chapter (forfeit?)",IF(AND(D736&lt;&gt;"",I736="Y"),"Forfeit has a chapter",IF(OR(F736="",H736=""),"Missing score",IF(F736=H736,"Tie score",IF(COUNTIFS($A$2:$A$801,A736,$E$2:$E$801,E736)+COUNTIFS($A$2:$A$801,A736,$G$2:$G$801,E736)&gt;1,"Team 1 listed twice this week",IF(COUNTIFS($A$2:$A$801,A736,$E$2:$E$801,G736)+COUNTIFS($A$2:$A$801,A736,$G$2:$G$801,G736)&gt;1,"Team 2 listed twice this week",""))))))))</f>
        <v/>
      </c>
    </row>
    <row r="737">
      <c r="A737" s="11" t="n"/>
      <c r="B737" s="9">
        <f>IF(A737="","",IFERROR(INDEX(Lists!$G$2:$G$7,MATCH(A737,Lists!$F$2:$F$7,0)),"?"))</f>
        <v/>
      </c>
      <c r="C737" s="4" t="n"/>
      <c r="D737" s="4" t="n"/>
      <c r="E737" s="4" t="n"/>
      <c r="F737" s="11" t="n"/>
      <c r="G737" s="4" t="n"/>
      <c r="H737" s="11" t="n"/>
      <c r="I737" s="11" t="n"/>
      <c r="J737" s="9">
        <f>IF(OR(F737="",H737=""),"",IF(F737&gt;H737,E737,IF(H737&gt;F737,G737,"")))</f>
        <v/>
      </c>
      <c r="K737" s="4" t="n"/>
      <c r="L737" s="9">
        <f>IF(COUNTA(A737,C737,D737,E737,F737,G737,H737,I737)=0,"",IF(OR(A737="",C737="",E737="",G737=""),"Missing week/class/team",IF(AND(D737="",I737&lt;&gt;"Y"),"No chapter (forfeit?)",IF(AND(D737&lt;&gt;"",I737="Y"),"Forfeit has a chapter",IF(OR(F737="",H737=""),"Missing score",IF(F737=H737,"Tie score",IF(COUNTIFS($A$2:$A$801,A737,$E$2:$E$801,E737)+COUNTIFS($A$2:$A$801,A737,$G$2:$G$801,E737)&gt;1,"Team 1 listed twice this week",IF(COUNTIFS($A$2:$A$801,A737,$E$2:$E$801,G737)+COUNTIFS($A$2:$A$801,A737,$G$2:$G$801,G737)&gt;1,"Team 2 listed twice this week",""))))))))</f>
        <v/>
      </c>
    </row>
    <row r="738">
      <c r="A738" s="11" t="n"/>
      <c r="B738" s="9">
        <f>IF(A738="","",IFERROR(INDEX(Lists!$G$2:$G$7,MATCH(A738,Lists!$F$2:$F$7,0)),"?"))</f>
        <v/>
      </c>
      <c r="C738" s="4" t="n"/>
      <c r="D738" s="4" t="n"/>
      <c r="E738" s="4" t="n"/>
      <c r="F738" s="11" t="n"/>
      <c r="G738" s="4" t="n"/>
      <c r="H738" s="11" t="n"/>
      <c r="I738" s="11" t="n"/>
      <c r="J738" s="9">
        <f>IF(OR(F738="",H738=""),"",IF(F738&gt;H738,E738,IF(H738&gt;F738,G738,"")))</f>
        <v/>
      </c>
      <c r="K738" s="4" t="n"/>
      <c r="L738" s="9">
        <f>IF(COUNTA(A738,C738,D738,E738,F738,G738,H738,I738)=0,"",IF(OR(A738="",C738="",E738="",G738=""),"Missing week/class/team",IF(AND(D738="",I738&lt;&gt;"Y"),"No chapter (forfeit?)",IF(AND(D738&lt;&gt;"",I738="Y"),"Forfeit has a chapter",IF(OR(F738="",H738=""),"Missing score",IF(F738=H738,"Tie score",IF(COUNTIFS($A$2:$A$801,A738,$E$2:$E$801,E738)+COUNTIFS($A$2:$A$801,A738,$G$2:$G$801,E738)&gt;1,"Team 1 listed twice this week",IF(COUNTIFS($A$2:$A$801,A738,$E$2:$E$801,G738)+COUNTIFS($A$2:$A$801,A738,$G$2:$G$801,G738)&gt;1,"Team 2 listed twice this week",""))))))))</f>
        <v/>
      </c>
    </row>
    <row r="739">
      <c r="A739" s="11" t="n"/>
      <c r="B739" s="9">
        <f>IF(A739="","",IFERROR(INDEX(Lists!$G$2:$G$7,MATCH(A739,Lists!$F$2:$F$7,0)),"?"))</f>
        <v/>
      </c>
      <c r="C739" s="4" t="n"/>
      <c r="D739" s="4" t="n"/>
      <c r="E739" s="4" t="n"/>
      <c r="F739" s="11" t="n"/>
      <c r="G739" s="4" t="n"/>
      <c r="H739" s="11" t="n"/>
      <c r="I739" s="11" t="n"/>
      <c r="J739" s="9">
        <f>IF(OR(F739="",H739=""),"",IF(F739&gt;H739,E739,IF(H739&gt;F739,G739,"")))</f>
        <v/>
      </c>
      <c r="K739" s="4" t="n"/>
      <c r="L739" s="9">
        <f>IF(COUNTA(A739,C739,D739,E739,F739,G739,H739,I739)=0,"",IF(OR(A739="",C739="",E739="",G739=""),"Missing week/class/team",IF(AND(D739="",I739&lt;&gt;"Y"),"No chapter (forfeit?)",IF(AND(D739&lt;&gt;"",I739="Y"),"Forfeit has a chapter",IF(OR(F739="",H739=""),"Missing score",IF(F739=H739,"Tie score",IF(COUNTIFS($A$2:$A$801,A739,$E$2:$E$801,E739)+COUNTIFS($A$2:$A$801,A739,$G$2:$G$801,E739)&gt;1,"Team 1 listed twice this week",IF(COUNTIFS($A$2:$A$801,A739,$E$2:$E$801,G739)+COUNTIFS($A$2:$A$801,A739,$G$2:$G$801,G739)&gt;1,"Team 2 listed twice this week",""))))))))</f>
        <v/>
      </c>
    </row>
    <row r="740">
      <c r="A740" s="11" t="n"/>
      <c r="B740" s="9">
        <f>IF(A740="","",IFERROR(INDEX(Lists!$G$2:$G$7,MATCH(A740,Lists!$F$2:$F$7,0)),"?"))</f>
        <v/>
      </c>
      <c r="C740" s="4" t="n"/>
      <c r="D740" s="4" t="n"/>
      <c r="E740" s="4" t="n"/>
      <c r="F740" s="11" t="n"/>
      <c r="G740" s="4" t="n"/>
      <c r="H740" s="11" t="n"/>
      <c r="I740" s="11" t="n"/>
      <c r="J740" s="9">
        <f>IF(OR(F740="",H740=""),"",IF(F740&gt;H740,E740,IF(H740&gt;F740,G740,"")))</f>
        <v/>
      </c>
      <c r="K740" s="4" t="n"/>
      <c r="L740" s="9">
        <f>IF(COUNTA(A740,C740,D740,E740,F740,G740,H740,I740)=0,"",IF(OR(A740="",C740="",E740="",G740=""),"Missing week/class/team",IF(AND(D740="",I740&lt;&gt;"Y"),"No chapter (forfeit?)",IF(AND(D740&lt;&gt;"",I740="Y"),"Forfeit has a chapter",IF(OR(F740="",H740=""),"Missing score",IF(F740=H740,"Tie score",IF(COUNTIFS($A$2:$A$801,A740,$E$2:$E$801,E740)+COUNTIFS($A$2:$A$801,A740,$G$2:$G$801,E740)&gt;1,"Team 1 listed twice this week",IF(COUNTIFS($A$2:$A$801,A740,$E$2:$E$801,G740)+COUNTIFS($A$2:$A$801,A740,$G$2:$G$801,G740)&gt;1,"Team 2 listed twice this week",""))))))))</f>
        <v/>
      </c>
    </row>
    <row r="741">
      <c r="A741" s="11" t="n"/>
      <c r="B741" s="9">
        <f>IF(A741="","",IFERROR(INDEX(Lists!$G$2:$G$7,MATCH(A741,Lists!$F$2:$F$7,0)),"?"))</f>
        <v/>
      </c>
      <c r="C741" s="4" t="n"/>
      <c r="D741" s="4" t="n"/>
      <c r="E741" s="4" t="n"/>
      <c r="F741" s="11" t="n"/>
      <c r="G741" s="4" t="n"/>
      <c r="H741" s="11" t="n"/>
      <c r="I741" s="11" t="n"/>
      <c r="J741" s="9">
        <f>IF(OR(F741="",H741=""),"",IF(F741&gt;H741,E741,IF(H741&gt;F741,G741,"")))</f>
        <v/>
      </c>
      <c r="K741" s="4" t="n"/>
      <c r="L741" s="9">
        <f>IF(COUNTA(A741,C741,D741,E741,F741,G741,H741,I741)=0,"",IF(OR(A741="",C741="",E741="",G741=""),"Missing week/class/team",IF(AND(D741="",I741&lt;&gt;"Y"),"No chapter (forfeit?)",IF(AND(D741&lt;&gt;"",I741="Y"),"Forfeit has a chapter",IF(OR(F741="",H741=""),"Missing score",IF(F741=H741,"Tie score",IF(COUNTIFS($A$2:$A$801,A741,$E$2:$E$801,E741)+COUNTIFS($A$2:$A$801,A741,$G$2:$G$801,E741)&gt;1,"Team 1 listed twice this week",IF(COUNTIFS($A$2:$A$801,A741,$E$2:$E$801,G741)+COUNTIFS($A$2:$A$801,A741,$G$2:$G$801,G741)&gt;1,"Team 2 listed twice this week",""))))))))</f>
        <v/>
      </c>
    </row>
    <row r="742">
      <c r="A742" s="11" t="n"/>
      <c r="B742" s="9">
        <f>IF(A742="","",IFERROR(INDEX(Lists!$G$2:$G$7,MATCH(A742,Lists!$F$2:$F$7,0)),"?"))</f>
        <v/>
      </c>
      <c r="C742" s="4" t="n"/>
      <c r="D742" s="4" t="n"/>
      <c r="E742" s="4" t="n"/>
      <c r="F742" s="11" t="n"/>
      <c r="G742" s="4" t="n"/>
      <c r="H742" s="11" t="n"/>
      <c r="I742" s="11" t="n"/>
      <c r="J742" s="9">
        <f>IF(OR(F742="",H742=""),"",IF(F742&gt;H742,E742,IF(H742&gt;F742,G742,"")))</f>
        <v/>
      </c>
      <c r="K742" s="4" t="n"/>
      <c r="L742" s="9">
        <f>IF(COUNTA(A742,C742,D742,E742,F742,G742,H742,I742)=0,"",IF(OR(A742="",C742="",E742="",G742=""),"Missing week/class/team",IF(AND(D742="",I742&lt;&gt;"Y"),"No chapter (forfeit?)",IF(AND(D742&lt;&gt;"",I742="Y"),"Forfeit has a chapter",IF(OR(F742="",H742=""),"Missing score",IF(F742=H742,"Tie score",IF(COUNTIFS($A$2:$A$801,A742,$E$2:$E$801,E742)+COUNTIFS($A$2:$A$801,A742,$G$2:$G$801,E742)&gt;1,"Team 1 listed twice this week",IF(COUNTIFS($A$2:$A$801,A742,$E$2:$E$801,G742)+COUNTIFS($A$2:$A$801,A742,$G$2:$G$801,G742)&gt;1,"Team 2 listed twice this week",""))))))))</f>
        <v/>
      </c>
    </row>
    <row r="743">
      <c r="A743" s="11" t="n"/>
      <c r="B743" s="9">
        <f>IF(A743="","",IFERROR(INDEX(Lists!$G$2:$G$7,MATCH(A743,Lists!$F$2:$F$7,0)),"?"))</f>
        <v/>
      </c>
      <c r="C743" s="4" t="n"/>
      <c r="D743" s="4" t="n"/>
      <c r="E743" s="4" t="n"/>
      <c r="F743" s="11" t="n"/>
      <c r="G743" s="4" t="n"/>
      <c r="H743" s="11" t="n"/>
      <c r="I743" s="11" t="n"/>
      <c r="J743" s="9">
        <f>IF(OR(F743="",H743=""),"",IF(F743&gt;H743,E743,IF(H743&gt;F743,G743,"")))</f>
        <v/>
      </c>
      <c r="K743" s="4" t="n"/>
      <c r="L743" s="9">
        <f>IF(COUNTA(A743,C743,D743,E743,F743,G743,H743,I743)=0,"",IF(OR(A743="",C743="",E743="",G743=""),"Missing week/class/team",IF(AND(D743="",I743&lt;&gt;"Y"),"No chapter (forfeit?)",IF(AND(D743&lt;&gt;"",I743="Y"),"Forfeit has a chapter",IF(OR(F743="",H743=""),"Missing score",IF(F743=H743,"Tie score",IF(COUNTIFS($A$2:$A$801,A743,$E$2:$E$801,E743)+COUNTIFS($A$2:$A$801,A743,$G$2:$G$801,E743)&gt;1,"Team 1 listed twice this week",IF(COUNTIFS($A$2:$A$801,A743,$E$2:$E$801,G743)+COUNTIFS($A$2:$A$801,A743,$G$2:$G$801,G743)&gt;1,"Team 2 listed twice this week",""))))))))</f>
        <v/>
      </c>
    </row>
    <row r="744">
      <c r="A744" s="11" t="n"/>
      <c r="B744" s="9">
        <f>IF(A744="","",IFERROR(INDEX(Lists!$G$2:$G$7,MATCH(A744,Lists!$F$2:$F$7,0)),"?"))</f>
        <v/>
      </c>
      <c r="C744" s="4" t="n"/>
      <c r="D744" s="4" t="n"/>
      <c r="E744" s="4" t="n"/>
      <c r="F744" s="11" t="n"/>
      <c r="G744" s="4" t="n"/>
      <c r="H744" s="11" t="n"/>
      <c r="I744" s="11" t="n"/>
      <c r="J744" s="9">
        <f>IF(OR(F744="",H744=""),"",IF(F744&gt;H744,E744,IF(H744&gt;F744,G744,"")))</f>
        <v/>
      </c>
      <c r="K744" s="4" t="n"/>
      <c r="L744" s="9">
        <f>IF(COUNTA(A744,C744,D744,E744,F744,G744,H744,I744)=0,"",IF(OR(A744="",C744="",E744="",G744=""),"Missing week/class/team",IF(AND(D744="",I744&lt;&gt;"Y"),"No chapter (forfeit?)",IF(AND(D744&lt;&gt;"",I744="Y"),"Forfeit has a chapter",IF(OR(F744="",H744=""),"Missing score",IF(F744=H744,"Tie score",IF(COUNTIFS($A$2:$A$801,A744,$E$2:$E$801,E744)+COUNTIFS($A$2:$A$801,A744,$G$2:$G$801,E744)&gt;1,"Team 1 listed twice this week",IF(COUNTIFS($A$2:$A$801,A744,$E$2:$E$801,G744)+COUNTIFS($A$2:$A$801,A744,$G$2:$G$801,G744)&gt;1,"Team 2 listed twice this week",""))))))))</f>
        <v/>
      </c>
    </row>
    <row r="745">
      <c r="A745" s="11" t="n"/>
      <c r="B745" s="9">
        <f>IF(A745="","",IFERROR(INDEX(Lists!$G$2:$G$7,MATCH(A745,Lists!$F$2:$F$7,0)),"?"))</f>
        <v/>
      </c>
      <c r="C745" s="4" t="n"/>
      <c r="D745" s="4" t="n"/>
      <c r="E745" s="4" t="n"/>
      <c r="F745" s="11" t="n"/>
      <c r="G745" s="4" t="n"/>
      <c r="H745" s="11" t="n"/>
      <c r="I745" s="11" t="n"/>
      <c r="J745" s="9">
        <f>IF(OR(F745="",H745=""),"",IF(F745&gt;H745,E745,IF(H745&gt;F745,G745,"")))</f>
        <v/>
      </c>
      <c r="K745" s="4" t="n"/>
      <c r="L745" s="9">
        <f>IF(COUNTA(A745,C745,D745,E745,F745,G745,H745,I745)=0,"",IF(OR(A745="",C745="",E745="",G745=""),"Missing week/class/team",IF(AND(D745="",I745&lt;&gt;"Y"),"No chapter (forfeit?)",IF(AND(D745&lt;&gt;"",I745="Y"),"Forfeit has a chapter",IF(OR(F745="",H745=""),"Missing score",IF(F745=H745,"Tie score",IF(COUNTIFS($A$2:$A$801,A745,$E$2:$E$801,E745)+COUNTIFS($A$2:$A$801,A745,$G$2:$G$801,E745)&gt;1,"Team 1 listed twice this week",IF(COUNTIFS($A$2:$A$801,A745,$E$2:$E$801,G745)+COUNTIFS($A$2:$A$801,A745,$G$2:$G$801,G745)&gt;1,"Team 2 listed twice this week",""))))))))</f>
        <v/>
      </c>
    </row>
    <row r="746">
      <c r="A746" s="11" t="n"/>
      <c r="B746" s="9">
        <f>IF(A746="","",IFERROR(INDEX(Lists!$G$2:$G$7,MATCH(A746,Lists!$F$2:$F$7,0)),"?"))</f>
        <v/>
      </c>
      <c r="C746" s="4" t="n"/>
      <c r="D746" s="4" t="n"/>
      <c r="E746" s="4" t="n"/>
      <c r="F746" s="11" t="n"/>
      <c r="G746" s="4" t="n"/>
      <c r="H746" s="11" t="n"/>
      <c r="I746" s="11" t="n"/>
      <c r="J746" s="9">
        <f>IF(OR(F746="",H746=""),"",IF(F746&gt;H746,E746,IF(H746&gt;F746,G746,"")))</f>
        <v/>
      </c>
      <c r="K746" s="4" t="n"/>
      <c r="L746" s="9">
        <f>IF(COUNTA(A746,C746,D746,E746,F746,G746,H746,I746)=0,"",IF(OR(A746="",C746="",E746="",G746=""),"Missing week/class/team",IF(AND(D746="",I746&lt;&gt;"Y"),"No chapter (forfeit?)",IF(AND(D746&lt;&gt;"",I746="Y"),"Forfeit has a chapter",IF(OR(F746="",H746=""),"Missing score",IF(F746=H746,"Tie score",IF(COUNTIFS($A$2:$A$801,A746,$E$2:$E$801,E746)+COUNTIFS($A$2:$A$801,A746,$G$2:$G$801,E746)&gt;1,"Team 1 listed twice this week",IF(COUNTIFS($A$2:$A$801,A746,$E$2:$E$801,G746)+COUNTIFS($A$2:$A$801,A746,$G$2:$G$801,G746)&gt;1,"Team 2 listed twice this week",""))))))))</f>
        <v/>
      </c>
    </row>
    <row r="747">
      <c r="A747" s="11" t="n"/>
      <c r="B747" s="9">
        <f>IF(A747="","",IFERROR(INDEX(Lists!$G$2:$G$7,MATCH(A747,Lists!$F$2:$F$7,0)),"?"))</f>
        <v/>
      </c>
      <c r="C747" s="4" t="n"/>
      <c r="D747" s="4" t="n"/>
      <c r="E747" s="4" t="n"/>
      <c r="F747" s="11" t="n"/>
      <c r="G747" s="4" t="n"/>
      <c r="H747" s="11" t="n"/>
      <c r="I747" s="11" t="n"/>
      <c r="J747" s="9">
        <f>IF(OR(F747="",H747=""),"",IF(F747&gt;H747,E747,IF(H747&gt;F747,G747,"")))</f>
        <v/>
      </c>
      <c r="K747" s="4" t="n"/>
      <c r="L747" s="9">
        <f>IF(COUNTA(A747,C747,D747,E747,F747,G747,H747,I747)=0,"",IF(OR(A747="",C747="",E747="",G747=""),"Missing week/class/team",IF(AND(D747="",I747&lt;&gt;"Y"),"No chapter (forfeit?)",IF(AND(D747&lt;&gt;"",I747="Y"),"Forfeit has a chapter",IF(OR(F747="",H747=""),"Missing score",IF(F747=H747,"Tie score",IF(COUNTIFS($A$2:$A$801,A747,$E$2:$E$801,E747)+COUNTIFS($A$2:$A$801,A747,$G$2:$G$801,E747)&gt;1,"Team 1 listed twice this week",IF(COUNTIFS($A$2:$A$801,A747,$E$2:$E$801,G747)+COUNTIFS($A$2:$A$801,A747,$G$2:$G$801,G747)&gt;1,"Team 2 listed twice this week",""))))))))</f>
        <v/>
      </c>
    </row>
    <row r="748">
      <c r="A748" s="11" t="n"/>
      <c r="B748" s="9">
        <f>IF(A748="","",IFERROR(INDEX(Lists!$G$2:$G$7,MATCH(A748,Lists!$F$2:$F$7,0)),"?"))</f>
        <v/>
      </c>
      <c r="C748" s="4" t="n"/>
      <c r="D748" s="4" t="n"/>
      <c r="E748" s="4" t="n"/>
      <c r="F748" s="11" t="n"/>
      <c r="G748" s="4" t="n"/>
      <c r="H748" s="11" t="n"/>
      <c r="I748" s="11" t="n"/>
      <c r="J748" s="9">
        <f>IF(OR(F748="",H748=""),"",IF(F748&gt;H748,E748,IF(H748&gt;F748,G748,"")))</f>
        <v/>
      </c>
      <c r="K748" s="4" t="n"/>
      <c r="L748" s="9">
        <f>IF(COUNTA(A748,C748,D748,E748,F748,G748,H748,I748)=0,"",IF(OR(A748="",C748="",E748="",G748=""),"Missing week/class/team",IF(AND(D748="",I748&lt;&gt;"Y"),"No chapter (forfeit?)",IF(AND(D748&lt;&gt;"",I748="Y"),"Forfeit has a chapter",IF(OR(F748="",H748=""),"Missing score",IF(F748=H748,"Tie score",IF(COUNTIFS($A$2:$A$801,A748,$E$2:$E$801,E748)+COUNTIFS($A$2:$A$801,A748,$G$2:$G$801,E748)&gt;1,"Team 1 listed twice this week",IF(COUNTIFS($A$2:$A$801,A748,$E$2:$E$801,G748)+COUNTIFS($A$2:$A$801,A748,$G$2:$G$801,G748)&gt;1,"Team 2 listed twice this week",""))))))))</f>
        <v/>
      </c>
    </row>
    <row r="749">
      <c r="A749" s="11" t="n"/>
      <c r="B749" s="9">
        <f>IF(A749="","",IFERROR(INDEX(Lists!$G$2:$G$7,MATCH(A749,Lists!$F$2:$F$7,0)),"?"))</f>
        <v/>
      </c>
      <c r="C749" s="4" t="n"/>
      <c r="D749" s="4" t="n"/>
      <c r="E749" s="4" t="n"/>
      <c r="F749" s="11" t="n"/>
      <c r="G749" s="4" t="n"/>
      <c r="H749" s="11" t="n"/>
      <c r="I749" s="11" t="n"/>
      <c r="J749" s="9">
        <f>IF(OR(F749="",H749=""),"",IF(F749&gt;H749,E749,IF(H749&gt;F749,G749,"")))</f>
        <v/>
      </c>
      <c r="K749" s="4" t="n"/>
      <c r="L749" s="9">
        <f>IF(COUNTA(A749,C749,D749,E749,F749,G749,H749,I749)=0,"",IF(OR(A749="",C749="",E749="",G749=""),"Missing week/class/team",IF(AND(D749="",I749&lt;&gt;"Y"),"No chapter (forfeit?)",IF(AND(D749&lt;&gt;"",I749="Y"),"Forfeit has a chapter",IF(OR(F749="",H749=""),"Missing score",IF(F749=H749,"Tie score",IF(COUNTIFS($A$2:$A$801,A749,$E$2:$E$801,E749)+COUNTIFS($A$2:$A$801,A749,$G$2:$G$801,E749)&gt;1,"Team 1 listed twice this week",IF(COUNTIFS($A$2:$A$801,A749,$E$2:$E$801,G749)+COUNTIFS($A$2:$A$801,A749,$G$2:$G$801,G749)&gt;1,"Team 2 listed twice this week",""))))))))</f>
        <v/>
      </c>
    </row>
    <row r="750">
      <c r="A750" s="11" t="n"/>
      <c r="B750" s="9">
        <f>IF(A750="","",IFERROR(INDEX(Lists!$G$2:$G$7,MATCH(A750,Lists!$F$2:$F$7,0)),"?"))</f>
        <v/>
      </c>
      <c r="C750" s="4" t="n"/>
      <c r="D750" s="4" t="n"/>
      <c r="E750" s="4" t="n"/>
      <c r="F750" s="11" t="n"/>
      <c r="G750" s="4" t="n"/>
      <c r="H750" s="11" t="n"/>
      <c r="I750" s="11" t="n"/>
      <c r="J750" s="9">
        <f>IF(OR(F750="",H750=""),"",IF(F750&gt;H750,E750,IF(H750&gt;F750,G750,"")))</f>
        <v/>
      </c>
      <c r="K750" s="4" t="n"/>
      <c r="L750" s="9">
        <f>IF(COUNTA(A750,C750,D750,E750,F750,G750,H750,I750)=0,"",IF(OR(A750="",C750="",E750="",G750=""),"Missing week/class/team",IF(AND(D750="",I750&lt;&gt;"Y"),"No chapter (forfeit?)",IF(AND(D750&lt;&gt;"",I750="Y"),"Forfeit has a chapter",IF(OR(F750="",H750=""),"Missing score",IF(F750=H750,"Tie score",IF(COUNTIFS($A$2:$A$801,A750,$E$2:$E$801,E750)+COUNTIFS($A$2:$A$801,A750,$G$2:$G$801,E750)&gt;1,"Team 1 listed twice this week",IF(COUNTIFS($A$2:$A$801,A750,$E$2:$E$801,G750)+COUNTIFS($A$2:$A$801,A750,$G$2:$G$801,G750)&gt;1,"Team 2 listed twice this week",""))))))))</f>
        <v/>
      </c>
    </row>
    <row r="751">
      <c r="A751" s="11" t="n"/>
      <c r="B751" s="9">
        <f>IF(A751="","",IFERROR(INDEX(Lists!$G$2:$G$7,MATCH(A751,Lists!$F$2:$F$7,0)),"?"))</f>
        <v/>
      </c>
      <c r="C751" s="4" t="n"/>
      <c r="D751" s="4" t="n"/>
      <c r="E751" s="4" t="n"/>
      <c r="F751" s="11" t="n"/>
      <c r="G751" s="4" t="n"/>
      <c r="H751" s="11" t="n"/>
      <c r="I751" s="11" t="n"/>
      <c r="J751" s="9">
        <f>IF(OR(F751="",H751=""),"",IF(F751&gt;H751,E751,IF(H751&gt;F751,G751,"")))</f>
        <v/>
      </c>
      <c r="K751" s="4" t="n"/>
      <c r="L751" s="9">
        <f>IF(COUNTA(A751,C751,D751,E751,F751,G751,H751,I751)=0,"",IF(OR(A751="",C751="",E751="",G751=""),"Missing week/class/team",IF(AND(D751="",I751&lt;&gt;"Y"),"No chapter (forfeit?)",IF(AND(D751&lt;&gt;"",I751="Y"),"Forfeit has a chapter",IF(OR(F751="",H751=""),"Missing score",IF(F751=H751,"Tie score",IF(COUNTIFS($A$2:$A$801,A751,$E$2:$E$801,E751)+COUNTIFS($A$2:$A$801,A751,$G$2:$G$801,E751)&gt;1,"Team 1 listed twice this week",IF(COUNTIFS($A$2:$A$801,A751,$E$2:$E$801,G751)+COUNTIFS($A$2:$A$801,A751,$G$2:$G$801,G751)&gt;1,"Team 2 listed twice this week",""))))))))</f>
        <v/>
      </c>
    </row>
    <row r="752">
      <c r="A752" s="11" t="n"/>
      <c r="B752" s="9">
        <f>IF(A752="","",IFERROR(INDEX(Lists!$G$2:$G$7,MATCH(A752,Lists!$F$2:$F$7,0)),"?"))</f>
        <v/>
      </c>
      <c r="C752" s="4" t="n"/>
      <c r="D752" s="4" t="n"/>
      <c r="E752" s="4" t="n"/>
      <c r="F752" s="11" t="n"/>
      <c r="G752" s="4" t="n"/>
      <c r="H752" s="11" t="n"/>
      <c r="I752" s="11" t="n"/>
      <c r="J752" s="9">
        <f>IF(OR(F752="",H752=""),"",IF(F752&gt;H752,E752,IF(H752&gt;F752,G752,"")))</f>
        <v/>
      </c>
      <c r="K752" s="4" t="n"/>
      <c r="L752" s="9">
        <f>IF(COUNTA(A752,C752,D752,E752,F752,G752,H752,I752)=0,"",IF(OR(A752="",C752="",E752="",G752=""),"Missing week/class/team",IF(AND(D752="",I752&lt;&gt;"Y"),"No chapter (forfeit?)",IF(AND(D752&lt;&gt;"",I752="Y"),"Forfeit has a chapter",IF(OR(F752="",H752=""),"Missing score",IF(F752=H752,"Tie score",IF(COUNTIFS($A$2:$A$801,A752,$E$2:$E$801,E752)+COUNTIFS($A$2:$A$801,A752,$G$2:$G$801,E752)&gt;1,"Team 1 listed twice this week",IF(COUNTIFS($A$2:$A$801,A752,$E$2:$E$801,G752)+COUNTIFS($A$2:$A$801,A752,$G$2:$G$801,G752)&gt;1,"Team 2 listed twice this week",""))))))))</f>
        <v/>
      </c>
    </row>
    <row r="753">
      <c r="A753" s="11" t="n"/>
      <c r="B753" s="9">
        <f>IF(A753="","",IFERROR(INDEX(Lists!$G$2:$G$7,MATCH(A753,Lists!$F$2:$F$7,0)),"?"))</f>
        <v/>
      </c>
      <c r="C753" s="4" t="n"/>
      <c r="D753" s="4" t="n"/>
      <c r="E753" s="4" t="n"/>
      <c r="F753" s="11" t="n"/>
      <c r="G753" s="4" t="n"/>
      <c r="H753" s="11" t="n"/>
      <c r="I753" s="11" t="n"/>
      <c r="J753" s="9">
        <f>IF(OR(F753="",H753=""),"",IF(F753&gt;H753,E753,IF(H753&gt;F753,G753,"")))</f>
        <v/>
      </c>
      <c r="K753" s="4" t="n"/>
      <c r="L753" s="9">
        <f>IF(COUNTA(A753,C753,D753,E753,F753,G753,H753,I753)=0,"",IF(OR(A753="",C753="",E753="",G753=""),"Missing week/class/team",IF(AND(D753="",I753&lt;&gt;"Y"),"No chapter (forfeit?)",IF(AND(D753&lt;&gt;"",I753="Y"),"Forfeit has a chapter",IF(OR(F753="",H753=""),"Missing score",IF(F753=H753,"Tie score",IF(COUNTIFS($A$2:$A$801,A753,$E$2:$E$801,E753)+COUNTIFS($A$2:$A$801,A753,$G$2:$G$801,E753)&gt;1,"Team 1 listed twice this week",IF(COUNTIFS($A$2:$A$801,A753,$E$2:$E$801,G753)+COUNTIFS($A$2:$A$801,A753,$G$2:$G$801,G753)&gt;1,"Team 2 listed twice this week",""))))))))</f>
        <v/>
      </c>
    </row>
    <row r="754">
      <c r="A754" s="11" t="n"/>
      <c r="B754" s="9">
        <f>IF(A754="","",IFERROR(INDEX(Lists!$G$2:$G$7,MATCH(A754,Lists!$F$2:$F$7,0)),"?"))</f>
        <v/>
      </c>
      <c r="C754" s="4" t="n"/>
      <c r="D754" s="4" t="n"/>
      <c r="E754" s="4" t="n"/>
      <c r="F754" s="11" t="n"/>
      <c r="G754" s="4" t="n"/>
      <c r="H754" s="11" t="n"/>
      <c r="I754" s="11" t="n"/>
      <c r="J754" s="9">
        <f>IF(OR(F754="",H754=""),"",IF(F754&gt;H754,E754,IF(H754&gt;F754,G754,"")))</f>
        <v/>
      </c>
      <c r="K754" s="4" t="n"/>
      <c r="L754" s="9">
        <f>IF(COUNTA(A754,C754,D754,E754,F754,G754,H754,I754)=0,"",IF(OR(A754="",C754="",E754="",G754=""),"Missing week/class/team",IF(AND(D754="",I754&lt;&gt;"Y"),"No chapter (forfeit?)",IF(AND(D754&lt;&gt;"",I754="Y"),"Forfeit has a chapter",IF(OR(F754="",H754=""),"Missing score",IF(F754=H754,"Tie score",IF(COUNTIFS($A$2:$A$801,A754,$E$2:$E$801,E754)+COUNTIFS($A$2:$A$801,A754,$G$2:$G$801,E754)&gt;1,"Team 1 listed twice this week",IF(COUNTIFS($A$2:$A$801,A754,$E$2:$E$801,G754)+COUNTIFS($A$2:$A$801,A754,$G$2:$G$801,G754)&gt;1,"Team 2 listed twice this week",""))))))))</f>
        <v/>
      </c>
    </row>
    <row r="755">
      <c r="A755" s="11" t="n"/>
      <c r="B755" s="9">
        <f>IF(A755="","",IFERROR(INDEX(Lists!$G$2:$G$7,MATCH(A755,Lists!$F$2:$F$7,0)),"?"))</f>
        <v/>
      </c>
      <c r="C755" s="4" t="n"/>
      <c r="D755" s="4" t="n"/>
      <c r="E755" s="4" t="n"/>
      <c r="F755" s="11" t="n"/>
      <c r="G755" s="4" t="n"/>
      <c r="H755" s="11" t="n"/>
      <c r="I755" s="11" t="n"/>
      <c r="J755" s="9">
        <f>IF(OR(F755="",H755=""),"",IF(F755&gt;H755,E755,IF(H755&gt;F755,G755,"")))</f>
        <v/>
      </c>
      <c r="K755" s="4" t="n"/>
      <c r="L755" s="9">
        <f>IF(COUNTA(A755,C755,D755,E755,F755,G755,H755,I755)=0,"",IF(OR(A755="",C755="",E755="",G755=""),"Missing week/class/team",IF(AND(D755="",I755&lt;&gt;"Y"),"No chapter (forfeit?)",IF(AND(D755&lt;&gt;"",I755="Y"),"Forfeit has a chapter",IF(OR(F755="",H755=""),"Missing score",IF(F755=H755,"Tie score",IF(COUNTIFS($A$2:$A$801,A755,$E$2:$E$801,E755)+COUNTIFS($A$2:$A$801,A755,$G$2:$G$801,E755)&gt;1,"Team 1 listed twice this week",IF(COUNTIFS($A$2:$A$801,A755,$E$2:$E$801,G755)+COUNTIFS($A$2:$A$801,A755,$G$2:$G$801,G755)&gt;1,"Team 2 listed twice this week",""))))))))</f>
        <v/>
      </c>
    </row>
    <row r="756">
      <c r="A756" s="11" t="n"/>
      <c r="B756" s="9">
        <f>IF(A756="","",IFERROR(INDEX(Lists!$G$2:$G$7,MATCH(A756,Lists!$F$2:$F$7,0)),"?"))</f>
        <v/>
      </c>
      <c r="C756" s="4" t="n"/>
      <c r="D756" s="4" t="n"/>
      <c r="E756" s="4" t="n"/>
      <c r="F756" s="11" t="n"/>
      <c r="G756" s="4" t="n"/>
      <c r="H756" s="11" t="n"/>
      <c r="I756" s="11" t="n"/>
      <c r="J756" s="9">
        <f>IF(OR(F756="",H756=""),"",IF(F756&gt;H756,E756,IF(H756&gt;F756,G756,"")))</f>
        <v/>
      </c>
      <c r="K756" s="4" t="n"/>
      <c r="L756" s="9">
        <f>IF(COUNTA(A756,C756,D756,E756,F756,G756,H756,I756)=0,"",IF(OR(A756="",C756="",E756="",G756=""),"Missing week/class/team",IF(AND(D756="",I756&lt;&gt;"Y"),"No chapter (forfeit?)",IF(AND(D756&lt;&gt;"",I756="Y"),"Forfeit has a chapter",IF(OR(F756="",H756=""),"Missing score",IF(F756=H756,"Tie score",IF(COUNTIFS($A$2:$A$801,A756,$E$2:$E$801,E756)+COUNTIFS($A$2:$A$801,A756,$G$2:$G$801,E756)&gt;1,"Team 1 listed twice this week",IF(COUNTIFS($A$2:$A$801,A756,$E$2:$E$801,G756)+COUNTIFS($A$2:$A$801,A756,$G$2:$G$801,G756)&gt;1,"Team 2 listed twice this week",""))))))))</f>
        <v/>
      </c>
    </row>
    <row r="757">
      <c r="A757" s="11" t="n"/>
      <c r="B757" s="9">
        <f>IF(A757="","",IFERROR(INDEX(Lists!$G$2:$G$7,MATCH(A757,Lists!$F$2:$F$7,0)),"?"))</f>
        <v/>
      </c>
      <c r="C757" s="4" t="n"/>
      <c r="D757" s="4" t="n"/>
      <c r="E757" s="4" t="n"/>
      <c r="F757" s="11" t="n"/>
      <c r="G757" s="4" t="n"/>
      <c r="H757" s="11" t="n"/>
      <c r="I757" s="11" t="n"/>
      <c r="J757" s="9">
        <f>IF(OR(F757="",H757=""),"",IF(F757&gt;H757,E757,IF(H757&gt;F757,G757,"")))</f>
        <v/>
      </c>
      <c r="K757" s="4" t="n"/>
      <c r="L757" s="9">
        <f>IF(COUNTA(A757,C757,D757,E757,F757,G757,H757,I757)=0,"",IF(OR(A757="",C757="",E757="",G757=""),"Missing week/class/team",IF(AND(D757="",I757&lt;&gt;"Y"),"No chapter (forfeit?)",IF(AND(D757&lt;&gt;"",I757="Y"),"Forfeit has a chapter",IF(OR(F757="",H757=""),"Missing score",IF(F757=H757,"Tie score",IF(COUNTIFS($A$2:$A$801,A757,$E$2:$E$801,E757)+COUNTIFS($A$2:$A$801,A757,$G$2:$G$801,E757)&gt;1,"Team 1 listed twice this week",IF(COUNTIFS($A$2:$A$801,A757,$E$2:$E$801,G757)+COUNTIFS($A$2:$A$801,A757,$G$2:$G$801,G757)&gt;1,"Team 2 listed twice this week",""))))))))</f>
        <v/>
      </c>
    </row>
    <row r="758">
      <c r="A758" s="11" t="n"/>
      <c r="B758" s="9">
        <f>IF(A758="","",IFERROR(INDEX(Lists!$G$2:$G$7,MATCH(A758,Lists!$F$2:$F$7,0)),"?"))</f>
        <v/>
      </c>
      <c r="C758" s="4" t="n"/>
      <c r="D758" s="4" t="n"/>
      <c r="E758" s="4" t="n"/>
      <c r="F758" s="11" t="n"/>
      <c r="G758" s="4" t="n"/>
      <c r="H758" s="11" t="n"/>
      <c r="I758" s="11" t="n"/>
      <c r="J758" s="9">
        <f>IF(OR(F758="",H758=""),"",IF(F758&gt;H758,E758,IF(H758&gt;F758,G758,"")))</f>
        <v/>
      </c>
      <c r="K758" s="4" t="n"/>
      <c r="L758" s="9">
        <f>IF(COUNTA(A758,C758,D758,E758,F758,G758,H758,I758)=0,"",IF(OR(A758="",C758="",E758="",G758=""),"Missing week/class/team",IF(AND(D758="",I758&lt;&gt;"Y"),"No chapter (forfeit?)",IF(AND(D758&lt;&gt;"",I758="Y"),"Forfeit has a chapter",IF(OR(F758="",H758=""),"Missing score",IF(F758=H758,"Tie score",IF(COUNTIFS($A$2:$A$801,A758,$E$2:$E$801,E758)+COUNTIFS($A$2:$A$801,A758,$G$2:$G$801,E758)&gt;1,"Team 1 listed twice this week",IF(COUNTIFS($A$2:$A$801,A758,$E$2:$E$801,G758)+COUNTIFS($A$2:$A$801,A758,$G$2:$G$801,G758)&gt;1,"Team 2 listed twice this week",""))))))))</f>
        <v/>
      </c>
    </row>
    <row r="759">
      <c r="A759" s="11" t="n"/>
      <c r="B759" s="9">
        <f>IF(A759="","",IFERROR(INDEX(Lists!$G$2:$G$7,MATCH(A759,Lists!$F$2:$F$7,0)),"?"))</f>
        <v/>
      </c>
      <c r="C759" s="4" t="n"/>
      <c r="D759" s="4" t="n"/>
      <c r="E759" s="4" t="n"/>
      <c r="F759" s="11" t="n"/>
      <c r="G759" s="4" t="n"/>
      <c r="H759" s="11" t="n"/>
      <c r="I759" s="11" t="n"/>
      <c r="J759" s="9">
        <f>IF(OR(F759="",H759=""),"",IF(F759&gt;H759,E759,IF(H759&gt;F759,G759,"")))</f>
        <v/>
      </c>
      <c r="K759" s="4" t="n"/>
      <c r="L759" s="9">
        <f>IF(COUNTA(A759,C759,D759,E759,F759,G759,H759,I759)=0,"",IF(OR(A759="",C759="",E759="",G759=""),"Missing week/class/team",IF(AND(D759="",I759&lt;&gt;"Y"),"No chapter (forfeit?)",IF(AND(D759&lt;&gt;"",I759="Y"),"Forfeit has a chapter",IF(OR(F759="",H759=""),"Missing score",IF(F759=H759,"Tie score",IF(COUNTIFS($A$2:$A$801,A759,$E$2:$E$801,E759)+COUNTIFS($A$2:$A$801,A759,$G$2:$G$801,E759)&gt;1,"Team 1 listed twice this week",IF(COUNTIFS($A$2:$A$801,A759,$E$2:$E$801,G759)+COUNTIFS($A$2:$A$801,A759,$G$2:$G$801,G759)&gt;1,"Team 2 listed twice this week",""))))))))</f>
        <v/>
      </c>
    </row>
    <row r="760">
      <c r="A760" s="11" t="n"/>
      <c r="B760" s="9">
        <f>IF(A760="","",IFERROR(INDEX(Lists!$G$2:$G$7,MATCH(A760,Lists!$F$2:$F$7,0)),"?"))</f>
        <v/>
      </c>
      <c r="C760" s="4" t="n"/>
      <c r="D760" s="4" t="n"/>
      <c r="E760" s="4" t="n"/>
      <c r="F760" s="11" t="n"/>
      <c r="G760" s="4" t="n"/>
      <c r="H760" s="11" t="n"/>
      <c r="I760" s="11" t="n"/>
      <c r="J760" s="9">
        <f>IF(OR(F760="",H760=""),"",IF(F760&gt;H760,E760,IF(H760&gt;F760,G760,"")))</f>
        <v/>
      </c>
      <c r="K760" s="4" t="n"/>
      <c r="L760" s="9">
        <f>IF(COUNTA(A760,C760,D760,E760,F760,G760,H760,I760)=0,"",IF(OR(A760="",C760="",E760="",G760=""),"Missing week/class/team",IF(AND(D760="",I760&lt;&gt;"Y"),"No chapter (forfeit?)",IF(AND(D760&lt;&gt;"",I760="Y"),"Forfeit has a chapter",IF(OR(F760="",H760=""),"Missing score",IF(F760=H760,"Tie score",IF(COUNTIFS($A$2:$A$801,A760,$E$2:$E$801,E760)+COUNTIFS($A$2:$A$801,A760,$G$2:$G$801,E760)&gt;1,"Team 1 listed twice this week",IF(COUNTIFS($A$2:$A$801,A760,$E$2:$E$801,G760)+COUNTIFS($A$2:$A$801,A760,$G$2:$G$801,G760)&gt;1,"Team 2 listed twice this week",""))))))))</f>
        <v/>
      </c>
    </row>
    <row r="761">
      <c r="A761" s="11" t="n"/>
      <c r="B761" s="9">
        <f>IF(A761="","",IFERROR(INDEX(Lists!$G$2:$G$7,MATCH(A761,Lists!$F$2:$F$7,0)),"?"))</f>
        <v/>
      </c>
      <c r="C761" s="4" t="n"/>
      <c r="D761" s="4" t="n"/>
      <c r="E761" s="4" t="n"/>
      <c r="F761" s="11" t="n"/>
      <c r="G761" s="4" t="n"/>
      <c r="H761" s="11" t="n"/>
      <c r="I761" s="11" t="n"/>
      <c r="J761" s="9">
        <f>IF(OR(F761="",H761=""),"",IF(F761&gt;H761,E761,IF(H761&gt;F761,G761,"")))</f>
        <v/>
      </c>
      <c r="K761" s="4" t="n"/>
      <c r="L761" s="9">
        <f>IF(COUNTA(A761,C761,D761,E761,F761,G761,H761,I761)=0,"",IF(OR(A761="",C761="",E761="",G761=""),"Missing week/class/team",IF(AND(D761="",I761&lt;&gt;"Y"),"No chapter (forfeit?)",IF(AND(D761&lt;&gt;"",I761="Y"),"Forfeit has a chapter",IF(OR(F761="",H761=""),"Missing score",IF(F761=H761,"Tie score",IF(COUNTIFS($A$2:$A$801,A761,$E$2:$E$801,E761)+COUNTIFS($A$2:$A$801,A761,$G$2:$G$801,E761)&gt;1,"Team 1 listed twice this week",IF(COUNTIFS($A$2:$A$801,A761,$E$2:$E$801,G761)+COUNTIFS($A$2:$A$801,A761,$G$2:$G$801,G761)&gt;1,"Team 2 listed twice this week",""))))))))</f>
        <v/>
      </c>
    </row>
    <row r="762">
      <c r="A762" s="11" t="n"/>
      <c r="B762" s="9">
        <f>IF(A762="","",IFERROR(INDEX(Lists!$G$2:$G$7,MATCH(A762,Lists!$F$2:$F$7,0)),"?"))</f>
        <v/>
      </c>
      <c r="C762" s="4" t="n"/>
      <c r="D762" s="4" t="n"/>
      <c r="E762" s="4" t="n"/>
      <c r="F762" s="11" t="n"/>
      <c r="G762" s="4" t="n"/>
      <c r="H762" s="11" t="n"/>
      <c r="I762" s="11" t="n"/>
      <c r="J762" s="9">
        <f>IF(OR(F762="",H762=""),"",IF(F762&gt;H762,E762,IF(H762&gt;F762,G762,"")))</f>
        <v/>
      </c>
      <c r="K762" s="4" t="n"/>
      <c r="L762" s="9">
        <f>IF(COUNTA(A762,C762,D762,E762,F762,G762,H762,I762)=0,"",IF(OR(A762="",C762="",E762="",G762=""),"Missing week/class/team",IF(AND(D762="",I762&lt;&gt;"Y"),"No chapter (forfeit?)",IF(AND(D762&lt;&gt;"",I762="Y"),"Forfeit has a chapter",IF(OR(F762="",H762=""),"Missing score",IF(F762=H762,"Tie score",IF(COUNTIFS($A$2:$A$801,A762,$E$2:$E$801,E762)+COUNTIFS($A$2:$A$801,A762,$G$2:$G$801,E762)&gt;1,"Team 1 listed twice this week",IF(COUNTIFS($A$2:$A$801,A762,$E$2:$E$801,G762)+COUNTIFS($A$2:$A$801,A762,$G$2:$G$801,G762)&gt;1,"Team 2 listed twice this week",""))))))))</f>
        <v/>
      </c>
    </row>
    <row r="763">
      <c r="A763" s="11" t="n"/>
      <c r="B763" s="9">
        <f>IF(A763="","",IFERROR(INDEX(Lists!$G$2:$G$7,MATCH(A763,Lists!$F$2:$F$7,0)),"?"))</f>
        <v/>
      </c>
      <c r="C763" s="4" t="n"/>
      <c r="D763" s="4" t="n"/>
      <c r="E763" s="4" t="n"/>
      <c r="F763" s="11" t="n"/>
      <c r="G763" s="4" t="n"/>
      <c r="H763" s="11" t="n"/>
      <c r="I763" s="11" t="n"/>
      <c r="J763" s="9">
        <f>IF(OR(F763="",H763=""),"",IF(F763&gt;H763,E763,IF(H763&gt;F763,G763,"")))</f>
        <v/>
      </c>
      <c r="K763" s="4" t="n"/>
      <c r="L763" s="9">
        <f>IF(COUNTA(A763,C763,D763,E763,F763,G763,H763,I763)=0,"",IF(OR(A763="",C763="",E763="",G763=""),"Missing week/class/team",IF(AND(D763="",I763&lt;&gt;"Y"),"No chapter (forfeit?)",IF(AND(D763&lt;&gt;"",I763="Y"),"Forfeit has a chapter",IF(OR(F763="",H763=""),"Missing score",IF(F763=H763,"Tie score",IF(COUNTIFS($A$2:$A$801,A763,$E$2:$E$801,E763)+COUNTIFS($A$2:$A$801,A763,$G$2:$G$801,E763)&gt;1,"Team 1 listed twice this week",IF(COUNTIFS($A$2:$A$801,A763,$E$2:$E$801,G763)+COUNTIFS($A$2:$A$801,A763,$G$2:$G$801,G763)&gt;1,"Team 2 listed twice this week",""))))))))</f>
        <v/>
      </c>
    </row>
    <row r="764">
      <c r="A764" s="11" t="n"/>
      <c r="B764" s="9">
        <f>IF(A764="","",IFERROR(INDEX(Lists!$G$2:$G$7,MATCH(A764,Lists!$F$2:$F$7,0)),"?"))</f>
        <v/>
      </c>
      <c r="C764" s="4" t="n"/>
      <c r="D764" s="4" t="n"/>
      <c r="E764" s="4" t="n"/>
      <c r="F764" s="11" t="n"/>
      <c r="G764" s="4" t="n"/>
      <c r="H764" s="11" t="n"/>
      <c r="I764" s="11" t="n"/>
      <c r="J764" s="9">
        <f>IF(OR(F764="",H764=""),"",IF(F764&gt;H764,E764,IF(H764&gt;F764,G764,"")))</f>
        <v/>
      </c>
      <c r="K764" s="4" t="n"/>
      <c r="L764" s="9">
        <f>IF(COUNTA(A764,C764,D764,E764,F764,G764,H764,I764)=0,"",IF(OR(A764="",C764="",E764="",G764=""),"Missing week/class/team",IF(AND(D764="",I764&lt;&gt;"Y"),"No chapter (forfeit?)",IF(AND(D764&lt;&gt;"",I764="Y"),"Forfeit has a chapter",IF(OR(F764="",H764=""),"Missing score",IF(F764=H764,"Tie score",IF(COUNTIFS($A$2:$A$801,A764,$E$2:$E$801,E764)+COUNTIFS($A$2:$A$801,A764,$G$2:$G$801,E764)&gt;1,"Team 1 listed twice this week",IF(COUNTIFS($A$2:$A$801,A764,$E$2:$E$801,G764)+COUNTIFS($A$2:$A$801,A764,$G$2:$G$801,G764)&gt;1,"Team 2 listed twice this week",""))))))))</f>
        <v/>
      </c>
    </row>
    <row r="765">
      <c r="A765" s="11" t="n"/>
      <c r="B765" s="9">
        <f>IF(A765="","",IFERROR(INDEX(Lists!$G$2:$G$7,MATCH(A765,Lists!$F$2:$F$7,0)),"?"))</f>
        <v/>
      </c>
      <c r="C765" s="4" t="n"/>
      <c r="D765" s="4" t="n"/>
      <c r="E765" s="4" t="n"/>
      <c r="F765" s="11" t="n"/>
      <c r="G765" s="4" t="n"/>
      <c r="H765" s="11" t="n"/>
      <c r="I765" s="11" t="n"/>
      <c r="J765" s="9">
        <f>IF(OR(F765="",H765=""),"",IF(F765&gt;H765,E765,IF(H765&gt;F765,G765,"")))</f>
        <v/>
      </c>
      <c r="K765" s="4" t="n"/>
      <c r="L765" s="9">
        <f>IF(COUNTA(A765,C765,D765,E765,F765,G765,H765,I765)=0,"",IF(OR(A765="",C765="",E765="",G765=""),"Missing week/class/team",IF(AND(D765="",I765&lt;&gt;"Y"),"No chapter (forfeit?)",IF(AND(D765&lt;&gt;"",I765="Y"),"Forfeit has a chapter",IF(OR(F765="",H765=""),"Missing score",IF(F765=H765,"Tie score",IF(COUNTIFS($A$2:$A$801,A765,$E$2:$E$801,E765)+COUNTIFS($A$2:$A$801,A765,$G$2:$G$801,E765)&gt;1,"Team 1 listed twice this week",IF(COUNTIFS($A$2:$A$801,A765,$E$2:$E$801,G765)+COUNTIFS($A$2:$A$801,A765,$G$2:$G$801,G765)&gt;1,"Team 2 listed twice this week",""))))))))</f>
        <v/>
      </c>
    </row>
    <row r="766">
      <c r="A766" s="11" t="n"/>
      <c r="B766" s="9">
        <f>IF(A766="","",IFERROR(INDEX(Lists!$G$2:$G$7,MATCH(A766,Lists!$F$2:$F$7,0)),"?"))</f>
        <v/>
      </c>
      <c r="C766" s="4" t="n"/>
      <c r="D766" s="4" t="n"/>
      <c r="E766" s="4" t="n"/>
      <c r="F766" s="11" t="n"/>
      <c r="G766" s="4" t="n"/>
      <c r="H766" s="11" t="n"/>
      <c r="I766" s="11" t="n"/>
      <c r="J766" s="9">
        <f>IF(OR(F766="",H766=""),"",IF(F766&gt;H766,E766,IF(H766&gt;F766,G766,"")))</f>
        <v/>
      </c>
      <c r="K766" s="4" t="n"/>
      <c r="L766" s="9">
        <f>IF(COUNTA(A766,C766,D766,E766,F766,G766,H766,I766)=0,"",IF(OR(A766="",C766="",E766="",G766=""),"Missing week/class/team",IF(AND(D766="",I766&lt;&gt;"Y"),"No chapter (forfeit?)",IF(AND(D766&lt;&gt;"",I766="Y"),"Forfeit has a chapter",IF(OR(F766="",H766=""),"Missing score",IF(F766=H766,"Tie score",IF(COUNTIFS($A$2:$A$801,A766,$E$2:$E$801,E766)+COUNTIFS($A$2:$A$801,A766,$G$2:$G$801,E766)&gt;1,"Team 1 listed twice this week",IF(COUNTIFS($A$2:$A$801,A766,$E$2:$E$801,G766)+COUNTIFS($A$2:$A$801,A766,$G$2:$G$801,G766)&gt;1,"Team 2 listed twice this week",""))))))))</f>
        <v/>
      </c>
    </row>
    <row r="767">
      <c r="A767" s="11" t="n"/>
      <c r="B767" s="9">
        <f>IF(A767="","",IFERROR(INDEX(Lists!$G$2:$G$7,MATCH(A767,Lists!$F$2:$F$7,0)),"?"))</f>
        <v/>
      </c>
      <c r="C767" s="4" t="n"/>
      <c r="D767" s="4" t="n"/>
      <c r="E767" s="4" t="n"/>
      <c r="F767" s="11" t="n"/>
      <c r="G767" s="4" t="n"/>
      <c r="H767" s="11" t="n"/>
      <c r="I767" s="11" t="n"/>
      <c r="J767" s="9">
        <f>IF(OR(F767="",H767=""),"",IF(F767&gt;H767,E767,IF(H767&gt;F767,G767,"")))</f>
        <v/>
      </c>
      <c r="K767" s="4" t="n"/>
      <c r="L767" s="9">
        <f>IF(COUNTA(A767,C767,D767,E767,F767,G767,H767,I767)=0,"",IF(OR(A767="",C767="",E767="",G767=""),"Missing week/class/team",IF(AND(D767="",I767&lt;&gt;"Y"),"No chapter (forfeit?)",IF(AND(D767&lt;&gt;"",I767="Y"),"Forfeit has a chapter",IF(OR(F767="",H767=""),"Missing score",IF(F767=H767,"Tie score",IF(COUNTIFS($A$2:$A$801,A767,$E$2:$E$801,E767)+COUNTIFS($A$2:$A$801,A767,$G$2:$G$801,E767)&gt;1,"Team 1 listed twice this week",IF(COUNTIFS($A$2:$A$801,A767,$E$2:$E$801,G767)+COUNTIFS($A$2:$A$801,A767,$G$2:$G$801,G767)&gt;1,"Team 2 listed twice this week",""))))))))</f>
        <v/>
      </c>
    </row>
    <row r="768">
      <c r="A768" s="11" t="n"/>
      <c r="B768" s="9">
        <f>IF(A768="","",IFERROR(INDEX(Lists!$G$2:$G$7,MATCH(A768,Lists!$F$2:$F$7,0)),"?"))</f>
        <v/>
      </c>
      <c r="C768" s="4" t="n"/>
      <c r="D768" s="4" t="n"/>
      <c r="E768" s="4" t="n"/>
      <c r="F768" s="11" t="n"/>
      <c r="G768" s="4" t="n"/>
      <c r="H768" s="11" t="n"/>
      <c r="I768" s="11" t="n"/>
      <c r="J768" s="9">
        <f>IF(OR(F768="",H768=""),"",IF(F768&gt;H768,E768,IF(H768&gt;F768,G768,"")))</f>
        <v/>
      </c>
      <c r="K768" s="4" t="n"/>
      <c r="L768" s="9">
        <f>IF(COUNTA(A768,C768,D768,E768,F768,G768,H768,I768)=0,"",IF(OR(A768="",C768="",E768="",G768=""),"Missing week/class/team",IF(AND(D768="",I768&lt;&gt;"Y"),"No chapter (forfeit?)",IF(AND(D768&lt;&gt;"",I768="Y"),"Forfeit has a chapter",IF(OR(F768="",H768=""),"Missing score",IF(F768=H768,"Tie score",IF(COUNTIFS($A$2:$A$801,A768,$E$2:$E$801,E768)+COUNTIFS($A$2:$A$801,A768,$G$2:$G$801,E768)&gt;1,"Team 1 listed twice this week",IF(COUNTIFS($A$2:$A$801,A768,$E$2:$E$801,G768)+COUNTIFS($A$2:$A$801,A768,$G$2:$G$801,G768)&gt;1,"Team 2 listed twice this week",""))))))))</f>
        <v/>
      </c>
    </row>
    <row r="769">
      <c r="A769" s="11" t="n"/>
      <c r="B769" s="9">
        <f>IF(A769="","",IFERROR(INDEX(Lists!$G$2:$G$7,MATCH(A769,Lists!$F$2:$F$7,0)),"?"))</f>
        <v/>
      </c>
      <c r="C769" s="4" t="n"/>
      <c r="D769" s="4" t="n"/>
      <c r="E769" s="4" t="n"/>
      <c r="F769" s="11" t="n"/>
      <c r="G769" s="4" t="n"/>
      <c r="H769" s="11" t="n"/>
      <c r="I769" s="11" t="n"/>
      <c r="J769" s="9">
        <f>IF(OR(F769="",H769=""),"",IF(F769&gt;H769,E769,IF(H769&gt;F769,G769,"")))</f>
        <v/>
      </c>
      <c r="K769" s="4" t="n"/>
      <c r="L769" s="9">
        <f>IF(COUNTA(A769,C769,D769,E769,F769,G769,H769,I769)=0,"",IF(OR(A769="",C769="",E769="",G769=""),"Missing week/class/team",IF(AND(D769="",I769&lt;&gt;"Y"),"No chapter (forfeit?)",IF(AND(D769&lt;&gt;"",I769="Y"),"Forfeit has a chapter",IF(OR(F769="",H769=""),"Missing score",IF(F769=H769,"Tie score",IF(COUNTIFS($A$2:$A$801,A769,$E$2:$E$801,E769)+COUNTIFS($A$2:$A$801,A769,$G$2:$G$801,E769)&gt;1,"Team 1 listed twice this week",IF(COUNTIFS($A$2:$A$801,A769,$E$2:$E$801,G769)+COUNTIFS($A$2:$A$801,A769,$G$2:$G$801,G769)&gt;1,"Team 2 listed twice this week",""))))))))</f>
        <v/>
      </c>
    </row>
    <row r="770">
      <c r="A770" s="11" t="n"/>
      <c r="B770" s="9">
        <f>IF(A770="","",IFERROR(INDEX(Lists!$G$2:$G$7,MATCH(A770,Lists!$F$2:$F$7,0)),"?"))</f>
        <v/>
      </c>
      <c r="C770" s="4" t="n"/>
      <c r="D770" s="4" t="n"/>
      <c r="E770" s="4" t="n"/>
      <c r="F770" s="11" t="n"/>
      <c r="G770" s="4" t="n"/>
      <c r="H770" s="11" t="n"/>
      <c r="I770" s="11" t="n"/>
      <c r="J770" s="9">
        <f>IF(OR(F770="",H770=""),"",IF(F770&gt;H770,E770,IF(H770&gt;F770,G770,"")))</f>
        <v/>
      </c>
      <c r="K770" s="4" t="n"/>
      <c r="L770" s="9">
        <f>IF(COUNTA(A770,C770,D770,E770,F770,G770,H770,I770)=0,"",IF(OR(A770="",C770="",E770="",G770=""),"Missing week/class/team",IF(AND(D770="",I770&lt;&gt;"Y"),"No chapter (forfeit?)",IF(AND(D770&lt;&gt;"",I770="Y"),"Forfeit has a chapter",IF(OR(F770="",H770=""),"Missing score",IF(F770=H770,"Tie score",IF(COUNTIFS($A$2:$A$801,A770,$E$2:$E$801,E770)+COUNTIFS($A$2:$A$801,A770,$G$2:$G$801,E770)&gt;1,"Team 1 listed twice this week",IF(COUNTIFS($A$2:$A$801,A770,$E$2:$E$801,G770)+COUNTIFS($A$2:$A$801,A770,$G$2:$G$801,G770)&gt;1,"Team 2 listed twice this week",""))))))))</f>
        <v/>
      </c>
    </row>
    <row r="771">
      <c r="A771" s="11" t="n"/>
      <c r="B771" s="9">
        <f>IF(A771="","",IFERROR(INDEX(Lists!$G$2:$G$7,MATCH(A771,Lists!$F$2:$F$7,0)),"?"))</f>
        <v/>
      </c>
      <c r="C771" s="4" t="n"/>
      <c r="D771" s="4" t="n"/>
      <c r="E771" s="4" t="n"/>
      <c r="F771" s="11" t="n"/>
      <c r="G771" s="4" t="n"/>
      <c r="H771" s="11" t="n"/>
      <c r="I771" s="11" t="n"/>
      <c r="J771" s="9">
        <f>IF(OR(F771="",H771=""),"",IF(F771&gt;H771,E771,IF(H771&gt;F771,G771,"")))</f>
        <v/>
      </c>
      <c r="K771" s="4" t="n"/>
      <c r="L771" s="9">
        <f>IF(COUNTA(A771,C771,D771,E771,F771,G771,H771,I771)=0,"",IF(OR(A771="",C771="",E771="",G771=""),"Missing week/class/team",IF(AND(D771="",I771&lt;&gt;"Y"),"No chapter (forfeit?)",IF(AND(D771&lt;&gt;"",I771="Y"),"Forfeit has a chapter",IF(OR(F771="",H771=""),"Missing score",IF(F771=H771,"Tie score",IF(COUNTIFS($A$2:$A$801,A771,$E$2:$E$801,E771)+COUNTIFS($A$2:$A$801,A771,$G$2:$G$801,E771)&gt;1,"Team 1 listed twice this week",IF(COUNTIFS($A$2:$A$801,A771,$E$2:$E$801,G771)+COUNTIFS($A$2:$A$801,A771,$G$2:$G$801,G771)&gt;1,"Team 2 listed twice this week",""))))))))</f>
        <v/>
      </c>
    </row>
    <row r="772">
      <c r="A772" s="11" t="n"/>
      <c r="B772" s="9">
        <f>IF(A772="","",IFERROR(INDEX(Lists!$G$2:$G$7,MATCH(A772,Lists!$F$2:$F$7,0)),"?"))</f>
        <v/>
      </c>
      <c r="C772" s="4" t="n"/>
      <c r="D772" s="4" t="n"/>
      <c r="E772" s="4" t="n"/>
      <c r="F772" s="11" t="n"/>
      <c r="G772" s="4" t="n"/>
      <c r="H772" s="11" t="n"/>
      <c r="I772" s="11" t="n"/>
      <c r="J772" s="9">
        <f>IF(OR(F772="",H772=""),"",IF(F772&gt;H772,E772,IF(H772&gt;F772,G772,"")))</f>
        <v/>
      </c>
      <c r="K772" s="4" t="n"/>
      <c r="L772" s="9">
        <f>IF(COUNTA(A772,C772,D772,E772,F772,G772,H772,I772)=0,"",IF(OR(A772="",C772="",E772="",G772=""),"Missing week/class/team",IF(AND(D772="",I772&lt;&gt;"Y"),"No chapter (forfeit?)",IF(AND(D772&lt;&gt;"",I772="Y"),"Forfeit has a chapter",IF(OR(F772="",H772=""),"Missing score",IF(F772=H772,"Tie score",IF(COUNTIFS($A$2:$A$801,A772,$E$2:$E$801,E772)+COUNTIFS($A$2:$A$801,A772,$G$2:$G$801,E772)&gt;1,"Team 1 listed twice this week",IF(COUNTIFS($A$2:$A$801,A772,$E$2:$E$801,G772)+COUNTIFS($A$2:$A$801,A772,$G$2:$G$801,G772)&gt;1,"Team 2 listed twice this week",""))))))))</f>
        <v/>
      </c>
    </row>
    <row r="773">
      <c r="A773" s="11" t="n"/>
      <c r="B773" s="9">
        <f>IF(A773="","",IFERROR(INDEX(Lists!$G$2:$G$7,MATCH(A773,Lists!$F$2:$F$7,0)),"?"))</f>
        <v/>
      </c>
      <c r="C773" s="4" t="n"/>
      <c r="D773" s="4" t="n"/>
      <c r="E773" s="4" t="n"/>
      <c r="F773" s="11" t="n"/>
      <c r="G773" s="4" t="n"/>
      <c r="H773" s="11" t="n"/>
      <c r="I773" s="11" t="n"/>
      <c r="J773" s="9">
        <f>IF(OR(F773="",H773=""),"",IF(F773&gt;H773,E773,IF(H773&gt;F773,G773,"")))</f>
        <v/>
      </c>
      <c r="K773" s="4" t="n"/>
      <c r="L773" s="9">
        <f>IF(COUNTA(A773,C773,D773,E773,F773,G773,H773,I773)=0,"",IF(OR(A773="",C773="",E773="",G773=""),"Missing week/class/team",IF(AND(D773="",I773&lt;&gt;"Y"),"No chapter (forfeit?)",IF(AND(D773&lt;&gt;"",I773="Y"),"Forfeit has a chapter",IF(OR(F773="",H773=""),"Missing score",IF(F773=H773,"Tie score",IF(COUNTIFS($A$2:$A$801,A773,$E$2:$E$801,E773)+COUNTIFS($A$2:$A$801,A773,$G$2:$G$801,E773)&gt;1,"Team 1 listed twice this week",IF(COUNTIFS($A$2:$A$801,A773,$E$2:$E$801,G773)+COUNTIFS($A$2:$A$801,A773,$G$2:$G$801,G773)&gt;1,"Team 2 listed twice this week",""))))))))</f>
        <v/>
      </c>
    </row>
    <row r="774">
      <c r="A774" s="11" t="n"/>
      <c r="B774" s="9">
        <f>IF(A774="","",IFERROR(INDEX(Lists!$G$2:$G$7,MATCH(A774,Lists!$F$2:$F$7,0)),"?"))</f>
        <v/>
      </c>
      <c r="C774" s="4" t="n"/>
      <c r="D774" s="4" t="n"/>
      <c r="E774" s="4" t="n"/>
      <c r="F774" s="11" t="n"/>
      <c r="G774" s="4" t="n"/>
      <c r="H774" s="11" t="n"/>
      <c r="I774" s="11" t="n"/>
      <c r="J774" s="9">
        <f>IF(OR(F774="",H774=""),"",IF(F774&gt;H774,E774,IF(H774&gt;F774,G774,"")))</f>
        <v/>
      </c>
      <c r="K774" s="4" t="n"/>
      <c r="L774" s="9">
        <f>IF(COUNTA(A774,C774,D774,E774,F774,G774,H774,I774)=0,"",IF(OR(A774="",C774="",E774="",G774=""),"Missing week/class/team",IF(AND(D774="",I774&lt;&gt;"Y"),"No chapter (forfeit?)",IF(AND(D774&lt;&gt;"",I774="Y"),"Forfeit has a chapter",IF(OR(F774="",H774=""),"Missing score",IF(F774=H774,"Tie score",IF(COUNTIFS($A$2:$A$801,A774,$E$2:$E$801,E774)+COUNTIFS($A$2:$A$801,A774,$G$2:$G$801,E774)&gt;1,"Team 1 listed twice this week",IF(COUNTIFS($A$2:$A$801,A774,$E$2:$E$801,G774)+COUNTIFS($A$2:$A$801,A774,$G$2:$G$801,G774)&gt;1,"Team 2 listed twice this week",""))))))))</f>
        <v/>
      </c>
    </row>
    <row r="775">
      <c r="A775" s="11" t="n"/>
      <c r="B775" s="9">
        <f>IF(A775="","",IFERROR(INDEX(Lists!$G$2:$G$7,MATCH(A775,Lists!$F$2:$F$7,0)),"?"))</f>
        <v/>
      </c>
      <c r="C775" s="4" t="n"/>
      <c r="D775" s="4" t="n"/>
      <c r="E775" s="4" t="n"/>
      <c r="F775" s="11" t="n"/>
      <c r="G775" s="4" t="n"/>
      <c r="H775" s="11" t="n"/>
      <c r="I775" s="11" t="n"/>
      <c r="J775" s="9">
        <f>IF(OR(F775="",H775=""),"",IF(F775&gt;H775,E775,IF(H775&gt;F775,G775,"")))</f>
        <v/>
      </c>
      <c r="K775" s="4" t="n"/>
      <c r="L775" s="9">
        <f>IF(COUNTA(A775,C775,D775,E775,F775,G775,H775,I775)=0,"",IF(OR(A775="",C775="",E775="",G775=""),"Missing week/class/team",IF(AND(D775="",I775&lt;&gt;"Y"),"No chapter (forfeit?)",IF(AND(D775&lt;&gt;"",I775="Y"),"Forfeit has a chapter",IF(OR(F775="",H775=""),"Missing score",IF(F775=H775,"Tie score",IF(COUNTIFS($A$2:$A$801,A775,$E$2:$E$801,E775)+COUNTIFS($A$2:$A$801,A775,$G$2:$G$801,E775)&gt;1,"Team 1 listed twice this week",IF(COUNTIFS($A$2:$A$801,A775,$E$2:$E$801,G775)+COUNTIFS($A$2:$A$801,A775,$G$2:$G$801,G775)&gt;1,"Team 2 listed twice this week",""))))))))</f>
        <v/>
      </c>
    </row>
    <row r="776">
      <c r="A776" s="11" t="n"/>
      <c r="B776" s="9">
        <f>IF(A776="","",IFERROR(INDEX(Lists!$G$2:$G$7,MATCH(A776,Lists!$F$2:$F$7,0)),"?"))</f>
        <v/>
      </c>
      <c r="C776" s="4" t="n"/>
      <c r="D776" s="4" t="n"/>
      <c r="E776" s="4" t="n"/>
      <c r="F776" s="11" t="n"/>
      <c r="G776" s="4" t="n"/>
      <c r="H776" s="11" t="n"/>
      <c r="I776" s="11" t="n"/>
      <c r="J776" s="9">
        <f>IF(OR(F776="",H776=""),"",IF(F776&gt;H776,E776,IF(H776&gt;F776,G776,"")))</f>
        <v/>
      </c>
      <c r="K776" s="4" t="n"/>
      <c r="L776" s="9">
        <f>IF(COUNTA(A776,C776,D776,E776,F776,G776,H776,I776)=0,"",IF(OR(A776="",C776="",E776="",G776=""),"Missing week/class/team",IF(AND(D776="",I776&lt;&gt;"Y"),"No chapter (forfeit?)",IF(AND(D776&lt;&gt;"",I776="Y"),"Forfeit has a chapter",IF(OR(F776="",H776=""),"Missing score",IF(F776=H776,"Tie score",IF(COUNTIFS($A$2:$A$801,A776,$E$2:$E$801,E776)+COUNTIFS($A$2:$A$801,A776,$G$2:$G$801,E776)&gt;1,"Team 1 listed twice this week",IF(COUNTIFS($A$2:$A$801,A776,$E$2:$E$801,G776)+COUNTIFS($A$2:$A$801,A776,$G$2:$G$801,G776)&gt;1,"Team 2 listed twice this week",""))))))))</f>
        <v/>
      </c>
    </row>
    <row r="777">
      <c r="A777" s="11" t="n"/>
      <c r="B777" s="9">
        <f>IF(A777="","",IFERROR(INDEX(Lists!$G$2:$G$7,MATCH(A777,Lists!$F$2:$F$7,0)),"?"))</f>
        <v/>
      </c>
      <c r="C777" s="4" t="n"/>
      <c r="D777" s="4" t="n"/>
      <c r="E777" s="4" t="n"/>
      <c r="F777" s="11" t="n"/>
      <c r="G777" s="4" t="n"/>
      <c r="H777" s="11" t="n"/>
      <c r="I777" s="11" t="n"/>
      <c r="J777" s="9">
        <f>IF(OR(F777="",H777=""),"",IF(F777&gt;H777,E777,IF(H777&gt;F777,G777,"")))</f>
        <v/>
      </c>
      <c r="K777" s="4" t="n"/>
      <c r="L777" s="9">
        <f>IF(COUNTA(A777,C777,D777,E777,F777,G777,H777,I777)=0,"",IF(OR(A777="",C777="",E777="",G777=""),"Missing week/class/team",IF(AND(D777="",I777&lt;&gt;"Y"),"No chapter (forfeit?)",IF(AND(D777&lt;&gt;"",I777="Y"),"Forfeit has a chapter",IF(OR(F777="",H777=""),"Missing score",IF(F777=H777,"Tie score",IF(COUNTIFS($A$2:$A$801,A777,$E$2:$E$801,E777)+COUNTIFS($A$2:$A$801,A777,$G$2:$G$801,E777)&gt;1,"Team 1 listed twice this week",IF(COUNTIFS($A$2:$A$801,A777,$E$2:$E$801,G777)+COUNTIFS($A$2:$A$801,A777,$G$2:$G$801,G777)&gt;1,"Team 2 listed twice this week",""))))))))</f>
        <v/>
      </c>
    </row>
    <row r="778">
      <c r="A778" s="11" t="n"/>
      <c r="B778" s="9">
        <f>IF(A778="","",IFERROR(INDEX(Lists!$G$2:$G$7,MATCH(A778,Lists!$F$2:$F$7,0)),"?"))</f>
        <v/>
      </c>
      <c r="C778" s="4" t="n"/>
      <c r="D778" s="4" t="n"/>
      <c r="E778" s="4" t="n"/>
      <c r="F778" s="11" t="n"/>
      <c r="G778" s="4" t="n"/>
      <c r="H778" s="11" t="n"/>
      <c r="I778" s="11" t="n"/>
      <c r="J778" s="9">
        <f>IF(OR(F778="",H778=""),"",IF(F778&gt;H778,E778,IF(H778&gt;F778,G778,"")))</f>
        <v/>
      </c>
      <c r="K778" s="4" t="n"/>
      <c r="L778" s="9">
        <f>IF(COUNTA(A778,C778,D778,E778,F778,G778,H778,I778)=0,"",IF(OR(A778="",C778="",E778="",G778=""),"Missing week/class/team",IF(AND(D778="",I778&lt;&gt;"Y"),"No chapter (forfeit?)",IF(AND(D778&lt;&gt;"",I778="Y"),"Forfeit has a chapter",IF(OR(F778="",H778=""),"Missing score",IF(F778=H778,"Tie score",IF(COUNTIFS($A$2:$A$801,A778,$E$2:$E$801,E778)+COUNTIFS($A$2:$A$801,A778,$G$2:$G$801,E778)&gt;1,"Team 1 listed twice this week",IF(COUNTIFS($A$2:$A$801,A778,$E$2:$E$801,G778)+COUNTIFS($A$2:$A$801,A778,$G$2:$G$801,G778)&gt;1,"Team 2 listed twice this week",""))))))))</f>
        <v/>
      </c>
    </row>
    <row r="779">
      <c r="A779" s="11" t="n"/>
      <c r="B779" s="9">
        <f>IF(A779="","",IFERROR(INDEX(Lists!$G$2:$G$7,MATCH(A779,Lists!$F$2:$F$7,0)),"?"))</f>
        <v/>
      </c>
      <c r="C779" s="4" t="n"/>
      <c r="D779" s="4" t="n"/>
      <c r="E779" s="4" t="n"/>
      <c r="F779" s="11" t="n"/>
      <c r="G779" s="4" t="n"/>
      <c r="H779" s="11" t="n"/>
      <c r="I779" s="11" t="n"/>
      <c r="J779" s="9">
        <f>IF(OR(F779="",H779=""),"",IF(F779&gt;H779,E779,IF(H779&gt;F779,G779,"")))</f>
        <v/>
      </c>
      <c r="K779" s="4" t="n"/>
      <c r="L779" s="9">
        <f>IF(COUNTA(A779,C779,D779,E779,F779,G779,H779,I779)=0,"",IF(OR(A779="",C779="",E779="",G779=""),"Missing week/class/team",IF(AND(D779="",I779&lt;&gt;"Y"),"No chapter (forfeit?)",IF(AND(D779&lt;&gt;"",I779="Y"),"Forfeit has a chapter",IF(OR(F779="",H779=""),"Missing score",IF(F779=H779,"Tie score",IF(COUNTIFS($A$2:$A$801,A779,$E$2:$E$801,E779)+COUNTIFS($A$2:$A$801,A779,$G$2:$G$801,E779)&gt;1,"Team 1 listed twice this week",IF(COUNTIFS($A$2:$A$801,A779,$E$2:$E$801,G779)+COUNTIFS($A$2:$A$801,A779,$G$2:$G$801,G779)&gt;1,"Team 2 listed twice this week",""))))))))</f>
        <v/>
      </c>
    </row>
    <row r="780">
      <c r="A780" s="11" t="n"/>
      <c r="B780" s="9">
        <f>IF(A780="","",IFERROR(INDEX(Lists!$G$2:$G$7,MATCH(A780,Lists!$F$2:$F$7,0)),"?"))</f>
        <v/>
      </c>
      <c r="C780" s="4" t="n"/>
      <c r="D780" s="4" t="n"/>
      <c r="E780" s="4" t="n"/>
      <c r="F780" s="11" t="n"/>
      <c r="G780" s="4" t="n"/>
      <c r="H780" s="11" t="n"/>
      <c r="I780" s="11" t="n"/>
      <c r="J780" s="9">
        <f>IF(OR(F780="",H780=""),"",IF(F780&gt;H780,E780,IF(H780&gt;F780,G780,"")))</f>
        <v/>
      </c>
      <c r="K780" s="4" t="n"/>
      <c r="L780" s="9">
        <f>IF(COUNTA(A780,C780,D780,E780,F780,G780,H780,I780)=0,"",IF(OR(A780="",C780="",E780="",G780=""),"Missing week/class/team",IF(AND(D780="",I780&lt;&gt;"Y"),"No chapter (forfeit?)",IF(AND(D780&lt;&gt;"",I780="Y"),"Forfeit has a chapter",IF(OR(F780="",H780=""),"Missing score",IF(F780=H780,"Tie score",IF(COUNTIFS($A$2:$A$801,A780,$E$2:$E$801,E780)+COUNTIFS($A$2:$A$801,A780,$G$2:$G$801,E780)&gt;1,"Team 1 listed twice this week",IF(COUNTIFS($A$2:$A$801,A780,$E$2:$E$801,G780)+COUNTIFS($A$2:$A$801,A780,$G$2:$G$801,G780)&gt;1,"Team 2 listed twice this week",""))))))))</f>
        <v/>
      </c>
    </row>
    <row r="781">
      <c r="A781" s="11" t="n"/>
      <c r="B781" s="9">
        <f>IF(A781="","",IFERROR(INDEX(Lists!$G$2:$G$7,MATCH(A781,Lists!$F$2:$F$7,0)),"?"))</f>
        <v/>
      </c>
      <c r="C781" s="4" t="n"/>
      <c r="D781" s="4" t="n"/>
      <c r="E781" s="4" t="n"/>
      <c r="F781" s="11" t="n"/>
      <c r="G781" s="4" t="n"/>
      <c r="H781" s="11" t="n"/>
      <c r="I781" s="11" t="n"/>
      <c r="J781" s="9">
        <f>IF(OR(F781="",H781=""),"",IF(F781&gt;H781,E781,IF(H781&gt;F781,G781,"")))</f>
        <v/>
      </c>
      <c r="K781" s="4" t="n"/>
      <c r="L781" s="9">
        <f>IF(COUNTA(A781,C781,D781,E781,F781,G781,H781,I781)=0,"",IF(OR(A781="",C781="",E781="",G781=""),"Missing week/class/team",IF(AND(D781="",I781&lt;&gt;"Y"),"No chapter (forfeit?)",IF(AND(D781&lt;&gt;"",I781="Y"),"Forfeit has a chapter",IF(OR(F781="",H781=""),"Missing score",IF(F781=H781,"Tie score",IF(COUNTIFS($A$2:$A$801,A781,$E$2:$E$801,E781)+COUNTIFS($A$2:$A$801,A781,$G$2:$G$801,E781)&gt;1,"Team 1 listed twice this week",IF(COUNTIFS($A$2:$A$801,A781,$E$2:$E$801,G781)+COUNTIFS($A$2:$A$801,A781,$G$2:$G$801,G781)&gt;1,"Team 2 listed twice this week",""))))))))</f>
        <v/>
      </c>
    </row>
    <row r="782">
      <c r="A782" s="11" t="n"/>
      <c r="B782" s="9">
        <f>IF(A782="","",IFERROR(INDEX(Lists!$G$2:$G$7,MATCH(A782,Lists!$F$2:$F$7,0)),"?"))</f>
        <v/>
      </c>
      <c r="C782" s="4" t="n"/>
      <c r="D782" s="4" t="n"/>
      <c r="E782" s="4" t="n"/>
      <c r="F782" s="11" t="n"/>
      <c r="G782" s="4" t="n"/>
      <c r="H782" s="11" t="n"/>
      <c r="I782" s="11" t="n"/>
      <c r="J782" s="9">
        <f>IF(OR(F782="",H782=""),"",IF(F782&gt;H782,E782,IF(H782&gt;F782,G782,"")))</f>
        <v/>
      </c>
      <c r="K782" s="4" t="n"/>
      <c r="L782" s="9">
        <f>IF(COUNTA(A782,C782,D782,E782,F782,G782,H782,I782)=0,"",IF(OR(A782="",C782="",E782="",G782=""),"Missing week/class/team",IF(AND(D782="",I782&lt;&gt;"Y"),"No chapter (forfeit?)",IF(AND(D782&lt;&gt;"",I782="Y"),"Forfeit has a chapter",IF(OR(F782="",H782=""),"Missing score",IF(F782=H782,"Tie score",IF(COUNTIFS($A$2:$A$801,A782,$E$2:$E$801,E782)+COUNTIFS($A$2:$A$801,A782,$G$2:$G$801,E782)&gt;1,"Team 1 listed twice this week",IF(COUNTIFS($A$2:$A$801,A782,$E$2:$E$801,G782)+COUNTIFS($A$2:$A$801,A782,$G$2:$G$801,G782)&gt;1,"Team 2 listed twice this week",""))))))))</f>
        <v/>
      </c>
    </row>
    <row r="783">
      <c r="A783" s="11" t="n"/>
      <c r="B783" s="9">
        <f>IF(A783="","",IFERROR(INDEX(Lists!$G$2:$G$7,MATCH(A783,Lists!$F$2:$F$7,0)),"?"))</f>
        <v/>
      </c>
      <c r="C783" s="4" t="n"/>
      <c r="D783" s="4" t="n"/>
      <c r="E783" s="4" t="n"/>
      <c r="F783" s="11" t="n"/>
      <c r="G783" s="4" t="n"/>
      <c r="H783" s="11" t="n"/>
      <c r="I783" s="11" t="n"/>
      <c r="J783" s="9">
        <f>IF(OR(F783="",H783=""),"",IF(F783&gt;H783,E783,IF(H783&gt;F783,G783,"")))</f>
        <v/>
      </c>
      <c r="K783" s="4" t="n"/>
      <c r="L783" s="9">
        <f>IF(COUNTA(A783,C783,D783,E783,F783,G783,H783,I783)=0,"",IF(OR(A783="",C783="",E783="",G783=""),"Missing week/class/team",IF(AND(D783="",I783&lt;&gt;"Y"),"No chapter (forfeit?)",IF(AND(D783&lt;&gt;"",I783="Y"),"Forfeit has a chapter",IF(OR(F783="",H783=""),"Missing score",IF(F783=H783,"Tie score",IF(COUNTIFS($A$2:$A$801,A783,$E$2:$E$801,E783)+COUNTIFS($A$2:$A$801,A783,$G$2:$G$801,E783)&gt;1,"Team 1 listed twice this week",IF(COUNTIFS($A$2:$A$801,A783,$E$2:$E$801,G783)+COUNTIFS($A$2:$A$801,A783,$G$2:$G$801,G783)&gt;1,"Team 2 listed twice this week",""))))))))</f>
        <v/>
      </c>
    </row>
    <row r="784">
      <c r="A784" s="11" t="n"/>
      <c r="B784" s="9">
        <f>IF(A784="","",IFERROR(INDEX(Lists!$G$2:$G$7,MATCH(A784,Lists!$F$2:$F$7,0)),"?"))</f>
        <v/>
      </c>
      <c r="C784" s="4" t="n"/>
      <c r="D784" s="4" t="n"/>
      <c r="E784" s="4" t="n"/>
      <c r="F784" s="11" t="n"/>
      <c r="G784" s="4" t="n"/>
      <c r="H784" s="11" t="n"/>
      <c r="I784" s="11" t="n"/>
      <c r="J784" s="9">
        <f>IF(OR(F784="",H784=""),"",IF(F784&gt;H784,E784,IF(H784&gt;F784,G784,"")))</f>
        <v/>
      </c>
      <c r="K784" s="4" t="n"/>
      <c r="L784" s="9">
        <f>IF(COUNTA(A784,C784,D784,E784,F784,G784,H784,I784)=0,"",IF(OR(A784="",C784="",E784="",G784=""),"Missing week/class/team",IF(AND(D784="",I784&lt;&gt;"Y"),"No chapter (forfeit?)",IF(AND(D784&lt;&gt;"",I784="Y"),"Forfeit has a chapter",IF(OR(F784="",H784=""),"Missing score",IF(F784=H784,"Tie score",IF(COUNTIFS($A$2:$A$801,A784,$E$2:$E$801,E784)+COUNTIFS($A$2:$A$801,A784,$G$2:$G$801,E784)&gt;1,"Team 1 listed twice this week",IF(COUNTIFS($A$2:$A$801,A784,$E$2:$E$801,G784)+COUNTIFS($A$2:$A$801,A784,$G$2:$G$801,G784)&gt;1,"Team 2 listed twice this week",""))))))))</f>
        <v/>
      </c>
    </row>
    <row r="785">
      <c r="A785" s="11" t="n"/>
      <c r="B785" s="9">
        <f>IF(A785="","",IFERROR(INDEX(Lists!$G$2:$G$7,MATCH(A785,Lists!$F$2:$F$7,0)),"?"))</f>
        <v/>
      </c>
      <c r="C785" s="4" t="n"/>
      <c r="D785" s="4" t="n"/>
      <c r="E785" s="4" t="n"/>
      <c r="F785" s="11" t="n"/>
      <c r="G785" s="4" t="n"/>
      <c r="H785" s="11" t="n"/>
      <c r="I785" s="11" t="n"/>
      <c r="J785" s="9">
        <f>IF(OR(F785="",H785=""),"",IF(F785&gt;H785,E785,IF(H785&gt;F785,G785,"")))</f>
        <v/>
      </c>
      <c r="K785" s="4" t="n"/>
      <c r="L785" s="9">
        <f>IF(COUNTA(A785,C785,D785,E785,F785,G785,H785,I785)=0,"",IF(OR(A785="",C785="",E785="",G785=""),"Missing week/class/team",IF(AND(D785="",I785&lt;&gt;"Y"),"No chapter (forfeit?)",IF(AND(D785&lt;&gt;"",I785="Y"),"Forfeit has a chapter",IF(OR(F785="",H785=""),"Missing score",IF(F785=H785,"Tie score",IF(COUNTIFS($A$2:$A$801,A785,$E$2:$E$801,E785)+COUNTIFS($A$2:$A$801,A785,$G$2:$G$801,E785)&gt;1,"Team 1 listed twice this week",IF(COUNTIFS($A$2:$A$801,A785,$E$2:$E$801,G785)+COUNTIFS($A$2:$A$801,A785,$G$2:$G$801,G785)&gt;1,"Team 2 listed twice this week",""))))))))</f>
        <v/>
      </c>
    </row>
    <row r="786">
      <c r="A786" s="11" t="n"/>
      <c r="B786" s="9">
        <f>IF(A786="","",IFERROR(INDEX(Lists!$G$2:$G$7,MATCH(A786,Lists!$F$2:$F$7,0)),"?"))</f>
        <v/>
      </c>
      <c r="C786" s="4" t="n"/>
      <c r="D786" s="4" t="n"/>
      <c r="E786" s="4" t="n"/>
      <c r="F786" s="11" t="n"/>
      <c r="G786" s="4" t="n"/>
      <c r="H786" s="11" t="n"/>
      <c r="I786" s="11" t="n"/>
      <c r="J786" s="9">
        <f>IF(OR(F786="",H786=""),"",IF(F786&gt;H786,E786,IF(H786&gt;F786,G786,"")))</f>
        <v/>
      </c>
      <c r="K786" s="4" t="n"/>
      <c r="L786" s="9">
        <f>IF(COUNTA(A786,C786,D786,E786,F786,G786,H786,I786)=0,"",IF(OR(A786="",C786="",E786="",G786=""),"Missing week/class/team",IF(AND(D786="",I786&lt;&gt;"Y"),"No chapter (forfeit?)",IF(AND(D786&lt;&gt;"",I786="Y"),"Forfeit has a chapter",IF(OR(F786="",H786=""),"Missing score",IF(F786=H786,"Tie score",IF(COUNTIFS($A$2:$A$801,A786,$E$2:$E$801,E786)+COUNTIFS($A$2:$A$801,A786,$G$2:$G$801,E786)&gt;1,"Team 1 listed twice this week",IF(COUNTIFS($A$2:$A$801,A786,$E$2:$E$801,G786)+COUNTIFS($A$2:$A$801,A786,$G$2:$G$801,G786)&gt;1,"Team 2 listed twice this week",""))))))))</f>
        <v/>
      </c>
    </row>
    <row r="787">
      <c r="A787" s="11" t="n"/>
      <c r="B787" s="9">
        <f>IF(A787="","",IFERROR(INDEX(Lists!$G$2:$G$7,MATCH(A787,Lists!$F$2:$F$7,0)),"?"))</f>
        <v/>
      </c>
      <c r="C787" s="4" t="n"/>
      <c r="D787" s="4" t="n"/>
      <c r="E787" s="4" t="n"/>
      <c r="F787" s="11" t="n"/>
      <c r="G787" s="4" t="n"/>
      <c r="H787" s="11" t="n"/>
      <c r="I787" s="11" t="n"/>
      <c r="J787" s="9">
        <f>IF(OR(F787="",H787=""),"",IF(F787&gt;H787,E787,IF(H787&gt;F787,G787,"")))</f>
        <v/>
      </c>
      <c r="K787" s="4" t="n"/>
      <c r="L787" s="9">
        <f>IF(COUNTA(A787,C787,D787,E787,F787,G787,H787,I787)=0,"",IF(OR(A787="",C787="",E787="",G787=""),"Missing week/class/team",IF(AND(D787="",I787&lt;&gt;"Y"),"No chapter (forfeit?)",IF(AND(D787&lt;&gt;"",I787="Y"),"Forfeit has a chapter",IF(OR(F787="",H787=""),"Missing score",IF(F787=H787,"Tie score",IF(COUNTIFS($A$2:$A$801,A787,$E$2:$E$801,E787)+COUNTIFS($A$2:$A$801,A787,$G$2:$G$801,E787)&gt;1,"Team 1 listed twice this week",IF(COUNTIFS($A$2:$A$801,A787,$E$2:$E$801,G787)+COUNTIFS($A$2:$A$801,A787,$G$2:$G$801,G787)&gt;1,"Team 2 listed twice this week",""))))))))</f>
        <v/>
      </c>
    </row>
    <row r="788">
      <c r="A788" s="11" t="n"/>
      <c r="B788" s="9">
        <f>IF(A788="","",IFERROR(INDEX(Lists!$G$2:$G$7,MATCH(A788,Lists!$F$2:$F$7,0)),"?"))</f>
        <v/>
      </c>
      <c r="C788" s="4" t="n"/>
      <c r="D788" s="4" t="n"/>
      <c r="E788" s="4" t="n"/>
      <c r="F788" s="11" t="n"/>
      <c r="G788" s="4" t="n"/>
      <c r="H788" s="11" t="n"/>
      <c r="I788" s="11" t="n"/>
      <c r="J788" s="9">
        <f>IF(OR(F788="",H788=""),"",IF(F788&gt;H788,E788,IF(H788&gt;F788,G788,"")))</f>
        <v/>
      </c>
      <c r="K788" s="4" t="n"/>
      <c r="L788" s="9">
        <f>IF(COUNTA(A788,C788,D788,E788,F788,G788,H788,I788)=0,"",IF(OR(A788="",C788="",E788="",G788=""),"Missing week/class/team",IF(AND(D788="",I788&lt;&gt;"Y"),"No chapter (forfeit?)",IF(AND(D788&lt;&gt;"",I788="Y"),"Forfeit has a chapter",IF(OR(F788="",H788=""),"Missing score",IF(F788=H788,"Tie score",IF(COUNTIFS($A$2:$A$801,A788,$E$2:$E$801,E788)+COUNTIFS($A$2:$A$801,A788,$G$2:$G$801,E788)&gt;1,"Team 1 listed twice this week",IF(COUNTIFS($A$2:$A$801,A788,$E$2:$E$801,G788)+COUNTIFS($A$2:$A$801,A788,$G$2:$G$801,G788)&gt;1,"Team 2 listed twice this week",""))))))))</f>
        <v/>
      </c>
    </row>
    <row r="789">
      <c r="A789" s="11" t="n"/>
      <c r="B789" s="9">
        <f>IF(A789="","",IFERROR(INDEX(Lists!$G$2:$G$7,MATCH(A789,Lists!$F$2:$F$7,0)),"?"))</f>
        <v/>
      </c>
      <c r="C789" s="4" t="n"/>
      <c r="D789" s="4" t="n"/>
      <c r="E789" s="4" t="n"/>
      <c r="F789" s="11" t="n"/>
      <c r="G789" s="4" t="n"/>
      <c r="H789" s="11" t="n"/>
      <c r="I789" s="11" t="n"/>
      <c r="J789" s="9">
        <f>IF(OR(F789="",H789=""),"",IF(F789&gt;H789,E789,IF(H789&gt;F789,G789,"")))</f>
        <v/>
      </c>
      <c r="K789" s="4" t="n"/>
      <c r="L789" s="9">
        <f>IF(COUNTA(A789,C789,D789,E789,F789,G789,H789,I789)=0,"",IF(OR(A789="",C789="",E789="",G789=""),"Missing week/class/team",IF(AND(D789="",I789&lt;&gt;"Y"),"No chapter (forfeit?)",IF(AND(D789&lt;&gt;"",I789="Y"),"Forfeit has a chapter",IF(OR(F789="",H789=""),"Missing score",IF(F789=H789,"Tie score",IF(COUNTIFS($A$2:$A$801,A789,$E$2:$E$801,E789)+COUNTIFS($A$2:$A$801,A789,$G$2:$G$801,E789)&gt;1,"Team 1 listed twice this week",IF(COUNTIFS($A$2:$A$801,A789,$E$2:$E$801,G789)+COUNTIFS($A$2:$A$801,A789,$G$2:$G$801,G789)&gt;1,"Team 2 listed twice this week",""))))))))</f>
        <v/>
      </c>
    </row>
    <row r="790">
      <c r="A790" s="11" t="n"/>
      <c r="B790" s="9">
        <f>IF(A790="","",IFERROR(INDEX(Lists!$G$2:$G$7,MATCH(A790,Lists!$F$2:$F$7,0)),"?"))</f>
        <v/>
      </c>
      <c r="C790" s="4" t="n"/>
      <c r="D790" s="4" t="n"/>
      <c r="E790" s="4" t="n"/>
      <c r="F790" s="11" t="n"/>
      <c r="G790" s="4" t="n"/>
      <c r="H790" s="11" t="n"/>
      <c r="I790" s="11" t="n"/>
      <c r="J790" s="9">
        <f>IF(OR(F790="",H790=""),"",IF(F790&gt;H790,E790,IF(H790&gt;F790,G790,"")))</f>
        <v/>
      </c>
      <c r="K790" s="4" t="n"/>
      <c r="L790" s="9">
        <f>IF(COUNTA(A790,C790,D790,E790,F790,G790,H790,I790)=0,"",IF(OR(A790="",C790="",E790="",G790=""),"Missing week/class/team",IF(AND(D790="",I790&lt;&gt;"Y"),"No chapter (forfeit?)",IF(AND(D790&lt;&gt;"",I790="Y"),"Forfeit has a chapter",IF(OR(F790="",H790=""),"Missing score",IF(F790=H790,"Tie score",IF(COUNTIFS($A$2:$A$801,A790,$E$2:$E$801,E790)+COUNTIFS($A$2:$A$801,A790,$G$2:$G$801,E790)&gt;1,"Team 1 listed twice this week",IF(COUNTIFS($A$2:$A$801,A790,$E$2:$E$801,G790)+COUNTIFS($A$2:$A$801,A790,$G$2:$G$801,G790)&gt;1,"Team 2 listed twice this week",""))))))))</f>
        <v/>
      </c>
    </row>
    <row r="791">
      <c r="A791" s="11" t="n"/>
      <c r="B791" s="9">
        <f>IF(A791="","",IFERROR(INDEX(Lists!$G$2:$G$7,MATCH(A791,Lists!$F$2:$F$7,0)),"?"))</f>
        <v/>
      </c>
      <c r="C791" s="4" t="n"/>
      <c r="D791" s="4" t="n"/>
      <c r="E791" s="4" t="n"/>
      <c r="F791" s="11" t="n"/>
      <c r="G791" s="4" t="n"/>
      <c r="H791" s="11" t="n"/>
      <c r="I791" s="11" t="n"/>
      <c r="J791" s="9">
        <f>IF(OR(F791="",H791=""),"",IF(F791&gt;H791,E791,IF(H791&gt;F791,G791,"")))</f>
        <v/>
      </c>
      <c r="K791" s="4" t="n"/>
      <c r="L791" s="9">
        <f>IF(COUNTA(A791,C791,D791,E791,F791,G791,H791,I791)=0,"",IF(OR(A791="",C791="",E791="",G791=""),"Missing week/class/team",IF(AND(D791="",I791&lt;&gt;"Y"),"No chapter (forfeit?)",IF(AND(D791&lt;&gt;"",I791="Y"),"Forfeit has a chapter",IF(OR(F791="",H791=""),"Missing score",IF(F791=H791,"Tie score",IF(COUNTIFS($A$2:$A$801,A791,$E$2:$E$801,E791)+COUNTIFS($A$2:$A$801,A791,$G$2:$G$801,E791)&gt;1,"Team 1 listed twice this week",IF(COUNTIFS($A$2:$A$801,A791,$E$2:$E$801,G791)+COUNTIFS($A$2:$A$801,A791,$G$2:$G$801,G791)&gt;1,"Team 2 listed twice this week",""))))))))</f>
        <v/>
      </c>
    </row>
    <row r="792">
      <c r="A792" s="11" t="n"/>
      <c r="B792" s="9">
        <f>IF(A792="","",IFERROR(INDEX(Lists!$G$2:$G$7,MATCH(A792,Lists!$F$2:$F$7,0)),"?"))</f>
        <v/>
      </c>
      <c r="C792" s="4" t="n"/>
      <c r="D792" s="4" t="n"/>
      <c r="E792" s="4" t="n"/>
      <c r="F792" s="11" t="n"/>
      <c r="G792" s="4" t="n"/>
      <c r="H792" s="11" t="n"/>
      <c r="I792" s="11" t="n"/>
      <c r="J792" s="9">
        <f>IF(OR(F792="",H792=""),"",IF(F792&gt;H792,E792,IF(H792&gt;F792,G792,"")))</f>
        <v/>
      </c>
      <c r="K792" s="4" t="n"/>
      <c r="L792" s="9">
        <f>IF(COUNTA(A792,C792,D792,E792,F792,G792,H792,I792)=0,"",IF(OR(A792="",C792="",E792="",G792=""),"Missing week/class/team",IF(AND(D792="",I792&lt;&gt;"Y"),"No chapter (forfeit?)",IF(AND(D792&lt;&gt;"",I792="Y"),"Forfeit has a chapter",IF(OR(F792="",H792=""),"Missing score",IF(F792=H792,"Tie score",IF(COUNTIFS($A$2:$A$801,A792,$E$2:$E$801,E792)+COUNTIFS($A$2:$A$801,A792,$G$2:$G$801,E792)&gt;1,"Team 1 listed twice this week",IF(COUNTIFS($A$2:$A$801,A792,$E$2:$E$801,G792)+COUNTIFS($A$2:$A$801,A792,$G$2:$G$801,G792)&gt;1,"Team 2 listed twice this week",""))))))))</f>
        <v/>
      </c>
    </row>
    <row r="793">
      <c r="A793" s="11" t="n"/>
      <c r="B793" s="9">
        <f>IF(A793="","",IFERROR(INDEX(Lists!$G$2:$G$7,MATCH(A793,Lists!$F$2:$F$7,0)),"?"))</f>
        <v/>
      </c>
      <c r="C793" s="4" t="n"/>
      <c r="D793" s="4" t="n"/>
      <c r="E793" s="4" t="n"/>
      <c r="F793" s="11" t="n"/>
      <c r="G793" s="4" t="n"/>
      <c r="H793" s="11" t="n"/>
      <c r="I793" s="11" t="n"/>
      <c r="J793" s="9">
        <f>IF(OR(F793="",H793=""),"",IF(F793&gt;H793,E793,IF(H793&gt;F793,G793,"")))</f>
        <v/>
      </c>
      <c r="K793" s="4" t="n"/>
      <c r="L793" s="9">
        <f>IF(COUNTA(A793,C793,D793,E793,F793,G793,H793,I793)=0,"",IF(OR(A793="",C793="",E793="",G793=""),"Missing week/class/team",IF(AND(D793="",I793&lt;&gt;"Y"),"No chapter (forfeit?)",IF(AND(D793&lt;&gt;"",I793="Y"),"Forfeit has a chapter",IF(OR(F793="",H793=""),"Missing score",IF(F793=H793,"Tie score",IF(COUNTIFS($A$2:$A$801,A793,$E$2:$E$801,E793)+COUNTIFS($A$2:$A$801,A793,$G$2:$G$801,E793)&gt;1,"Team 1 listed twice this week",IF(COUNTIFS($A$2:$A$801,A793,$E$2:$E$801,G793)+COUNTIFS($A$2:$A$801,A793,$G$2:$G$801,G793)&gt;1,"Team 2 listed twice this week",""))))))))</f>
        <v/>
      </c>
    </row>
    <row r="794">
      <c r="A794" s="11" t="n"/>
      <c r="B794" s="9">
        <f>IF(A794="","",IFERROR(INDEX(Lists!$G$2:$G$7,MATCH(A794,Lists!$F$2:$F$7,0)),"?"))</f>
        <v/>
      </c>
      <c r="C794" s="4" t="n"/>
      <c r="D794" s="4" t="n"/>
      <c r="E794" s="4" t="n"/>
      <c r="F794" s="11" t="n"/>
      <c r="G794" s="4" t="n"/>
      <c r="H794" s="11" t="n"/>
      <c r="I794" s="11" t="n"/>
      <c r="J794" s="9">
        <f>IF(OR(F794="",H794=""),"",IF(F794&gt;H794,E794,IF(H794&gt;F794,G794,"")))</f>
        <v/>
      </c>
      <c r="K794" s="4" t="n"/>
      <c r="L794" s="9">
        <f>IF(COUNTA(A794,C794,D794,E794,F794,G794,H794,I794)=0,"",IF(OR(A794="",C794="",E794="",G794=""),"Missing week/class/team",IF(AND(D794="",I794&lt;&gt;"Y"),"No chapter (forfeit?)",IF(AND(D794&lt;&gt;"",I794="Y"),"Forfeit has a chapter",IF(OR(F794="",H794=""),"Missing score",IF(F794=H794,"Tie score",IF(COUNTIFS($A$2:$A$801,A794,$E$2:$E$801,E794)+COUNTIFS($A$2:$A$801,A794,$G$2:$G$801,E794)&gt;1,"Team 1 listed twice this week",IF(COUNTIFS($A$2:$A$801,A794,$E$2:$E$801,G794)+COUNTIFS($A$2:$A$801,A794,$G$2:$G$801,G794)&gt;1,"Team 2 listed twice this week",""))))))))</f>
        <v/>
      </c>
    </row>
    <row r="795">
      <c r="A795" s="11" t="n"/>
      <c r="B795" s="9">
        <f>IF(A795="","",IFERROR(INDEX(Lists!$G$2:$G$7,MATCH(A795,Lists!$F$2:$F$7,0)),"?"))</f>
        <v/>
      </c>
      <c r="C795" s="4" t="n"/>
      <c r="D795" s="4" t="n"/>
      <c r="E795" s="4" t="n"/>
      <c r="F795" s="11" t="n"/>
      <c r="G795" s="4" t="n"/>
      <c r="H795" s="11" t="n"/>
      <c r="I795" s="11" t="n"/>
      <c r="J795" s="9">
        <f>IF(OR(F795="",H795=""),"",IF(F795&gt;H795,E795,IF(H795&gt;F795,G795,"")))</f>
        <v/>
      </c>
      <c r="K795" s="4" t="n"/>
      <c r="L795" s="9">
        <f>IF(COUNTA(A795,C795,D795,E795,F795,G795,H795,I795)=0,"",IF(OR(A795="",C795="",E795="",G795=""),"Missing week/class/team",IF(AND(D795="",I795&lt;&gt;"Y"),"No chapter (forfeit?)",IF(AND(D795&lt;&gt;"",I795="Y"),"Forfeit has a chapter",IF(OR(F795="",H795=""),"Missing score",IF(F795=H795,"Tie score",IF(COUNTIFS($A$2:$A$801,A795,$E$2:$E$801,E795)+COUNTIFS($A$2:$A$801,A795,$G$2:$G$801,E795)&gt;1,"Team 1 listed twice this week",IF(COUNTIFS($A$2:$A$801,A795,$E$2:$E$801,G795)+COUNTIFS($A$2:$A$801,A795,$G$2:$G$801,G795)&gt;1,"Team 2 listed twice this week",""))))))))</f>
        <v/>
      </c>
    </row>
    <row r="796">
      <c r="A796" s="11" t="n"/>
      <c r="B796" s="9">
        <f>IF(A796="","",IFERROR(INDEX(Lists!$G$2:$G$7,MATCH(A796,Lists!$F$2:$F$7,0)),"?"))</f>
        <v/>
      </c>
      <c r="C796" s="4" t="n"/>
      <c r="D796" s="4" t="n"/>
      <c r="E796" s="4" t="n"/>
      <c r="F796" s="11" t="n"/>
      <c r="G796" s="4" t="n"/>
      <c r="H796" s="11" t="n"/>
      <c r="I796" s="11" t="n"/>
      <c r="J796" s="9">
        <f>IF(OR(F796="",H796=""),"",IF(F796&gt;H796,E796,IF(H796&gt;F796,G796,"")))</f>
        <v/>
      </c>
      <c r="K796" s="4" t="n"/>
      <c r="L796" s="9">
        <f>IF(COUNTA(A796,C796,D796,E796,F796,G796,H796,I796)=0,"",IF(OR(A796="",C796="",E796="",G796=""),"Missing week/class/team",IF(AND(D796="",I796&lt;&gt;"Y"),"No chapter (forfeit?)",IF(AND(D796&lt;&gt;"",I796="Y"),"Forfeit has a chapter",IF(OR(F796="",H796=""),"Missing score",IF(F796=H796,"Tie score",IF(COUNTIFS($A$2:$A$801,A796,$E$2:$E$801,E796)+COUNTIFS($A$2:$A$801,A796,$G$2:$G$801,E796)&gt;1,"Team 1 listed twice this week",IF(COUNTIFS($A$2:$A$801,A796,$E$2:$E$801,G796)+COUNTIFS($A$2:$A$801,A796,$G$2:$G$801,G796)&gt;1,"Team 2 listed twice this week",""))))))))</f>
        <v/>
      </c>
    </row>
    <row r="797">
      <c r="A797" s="11" t="n"/>
      <c r="B797" s="9">
        <f>IF(A797="","",IFERROR(INDEX(Lists!$G$2:$G$7,MATCH(A797,Lists!$F$2:$F$7,0)),"?"))</f>
        <v/>
      </c>
      <c r="C797" s="4" t="n"/>
      <c r="D797" s="4" t="n"/>
      <c r="E797" s="4" t="n"/>
      <c r="F797" s="11" t="n"/>
      <c r="G797" s="4" t="n"/>
      <c r="H797" s="11" t="n"/>
      <c r="I797" s="11" t="n"/>
      <c r="J797" s="9">
        <f>IF(OR(F797="",H797=""),"",IF(F797&gt;H797,E797,IF(H797&gt;F797,G797,"")))</f>
        <v/>
      </c>
      <c r="K797" s="4" t="n"/>
      <c r="L797" s="9">
        <f>IF(COUNTA(A797,C797,D797,E797,F797,G797,H797,I797)=0,"",IF(OR(A797="",C797="",E797="",G797=""),"Missing week/class/team",IF(AND(D797="",I797&lt;&gt;"Y"),"No chapter (forfeit?)",IF(AND(D797&lt;&gt;"",I797="Y"),"Forfeit has a chapter",IF(OR(F797="",H797=""),"Missing score",IF(F797=H797,"Tie score",IF(COUNTIFS($A$2:$A$801,A797,$E$2:$E$801,E797)+COUNTIFS($A$2:$A$801,A797,$G$2:$G$801,E797)&gt;1,"Team 1 listed twice this week",IF(COUNTIFS($A$2:$A$801,A797,$E$2:$E$801,G797)+COUNTIFS($A$2:$A$801,A797,$G$2:$G$801,G797)&gt;1,"Team 2 listed twice this week",""))))))))</f>
        <v/>
      </c>
    </row>
    <row r="798">
      <c r="A798" s="11" t="n"/>
      <c r="B798" s="9">
        <f>IF(A798="","",IFERROR(INDEX(Lists!$G$2:$G$7,MATCH(A798,Lists!$F$2:$F$7,0)),"?"))</f>
        <v/>
      </c>
      <c r="C798" s="4" t="n"/>
      <c r="D798" s="4" t="n"/>
      <c r="E798" s="4" t="n"/>
      <c r="F798" s="11" t="n"/>
      <c r="G798" s="4" t="n"/>
      <c r="H798" s="11" t="n"/>
      <c r="I798" s="11" t="n"/>
      <c r="J798" s="9">
        <f>IF(OR(F798="",H798=""),"",IF(F798&gt;H798,E798,IF(H798&gt;F798,G798,"")))</f>
        <v/>
      </c>
      <c r="K798" s="4" t="n"/>
      <c r="L798" s="9">
        <f>IF(COUNTA(A798,C798,D798,E798,F798,G798,H798,I798)=0,"",IF(OR(A798="",C798="",E798="",G798=""),"Missing week/class/team",IF(AND(D798="",I798&lt;&gt;"Y"),"No chapter (forfeit?)",IF(AND(D798&lt;&gt;"",I798="Y"),"Forfeit has a chapter",IF(OR(F798="",H798=""),"Missing score",IF(F798=H798,"Tie score",IF(COUNTIFS($A$2:$A$801,A798,$E$2:$E$801,E798)+COUNTIFS($A$2:$A$801,A798,$G$2:$G$801,E798)&gt;1,"Team 1 listed twice this week",IF(COUNTIFS($A$2:$A$801,A798,$E$2:$E$801,G798)+COUNTIFS($A$2:$A$801,A798,$G$2:$G$801,G798)&gt;1,"Team 2 listed twice this week",""))))))))</f>
        <v/>
      </c>
    </row>
    <row r="799">
      <c r="A799" s="11" t="n"/>
      <c r="B799" s="9">
        <f>IF(A799="","",IFERROR(INDEX(Lists!$G$2:$G$7,MATCH(A799,Lists!$F$2:$F$7,0)),"?"))</f>
        <v/>
      </c>
      <c r="C799" s="4" t="n"/>
      <c r="D799" s="4" t="n"/>
      <c r="E799" s="4" t="n"/>
      <c r="F799" s="11" t="n"/>
      <c r="G799" s="4" t="n"/>
      <c r="H799" s="11" t="n"/>
      <c r="I799" s="11" t="n"/>
      <c r="J799" s="9">
        <f>IF(OR(F799="",H799=""),"",IF(F799&gt;H799,E799,IF(H799&gt;F799,G799,"")))</f>
        <v/>
      </c>
      <c r="K799" s="4" t="n"/>
      <c r="L799" s="9">
        <f>IF(COUNTA(A799,C799,D799,E799,F799,G799,H799,I799)=0,"",IF(OR(A799="",C799="",E799="",G799=""),"Missing week/class/team",IF(AND(D799="",I799&lt;&gt;"Y"),"No chapter (forfeit?)",IF(AND(D799&lt;&gt;"",I799="Y"),"Forfeit has a chapter",IF(OR(F799="",H799=""),"Missing score",IF(F799=H799,"Tie score",IF(COUNTIFS($A$2:$A$801,A799,$E$2:$E$801,E799)+COUNTIFS($A$2:$A$801,A799,$G$2:$G$801,E799)&gt;1,"Team 1 listed twice this week",IF(COUNTIFS($A$2:$A$801,A799,$E$2:$E$801,G799)+COUNTIFS($A$2:$A$801,A799,$G$2:$G$801,G799)&gt;1,"Team 2 listed twice this week",""))))))))</f>
        <v/>
      </c>
    </row>
    <row r="800">
      <c r="A800" s="11" t="n"/>
      <c r="B800" s="9">
        <f>IF(A800="","",IFERROR(INDEX(Lists!$G$2:$G$7,MATCH(A800,Lists!$F$2:$F$7,0)),"?"))</f>
        <v/>
      </c>
      <c r="C800" s="4" t="n"/>
      <c r="D800" s="4" t="n"/>
      <c r="E800" s="4" t="n"/>
      <c r="F800" s="11" t="n"/>
      <c r="G800" s="4" t="n"/>
      <c r="H800" s="11" t="n"/>
      <c r="I800" s="11" t="n"/>
      <c r="J800" s="9">
        <f>IF(OR(F800="",H800=""),"",IF(F800&gt;H800,E800,IF(H800&gt;F800,G800,"")))</f>
        <v/>
      </c>
      <c r="K800" s="4" t="n"/>
      <c r="L800" s="9">
        <f>IF(COUNTA(A800,C800,D800,E800,F800,G800,H800,I800)=0,"",IF(OR(A800="",C800="",E800="",G800=""),"Missing week/class/team",IF(AND(D800="",I800&lt;&gt;"Y"),"No chapter (forfeit?)",IF(AND(D800&lt;&gt;"",I800="Y"),"Forfeit has a chapter",IF(OR(F800="",H800=""),"Missing score",IF(F800=H800,"Tie score",IF(COUNTIFS($A$2:$A$801,A800,$E$2:$E$801,E800)+COUNTIFS($A$2:$A$801,A800,$G$2:$G$801,E800)&gt;1,"Team 1 listed twice this week",IF(COUNTIFS($A$2:$A$801,A800,$E$2:$E$801,G800)+COUNTIFS($A$2:$A$801,A800,$G$2:$G$801,G800)&gt;1,"Team 2 listed twice this week",""))))))))</f>
        <v/>
      </c>
    </row>
    <row r="801">
      <c r="A801" s="11" t="n"/>
      <c r="B801" s="9">
        <f>IF(A801="","",IFERROR(INDEX(Lists!$G$2:$G$7,MATCH(A801,Lists!$F$2:$F$7,0)),"?"))</f>
        <v/>
      </c>
      <c r="C801" s="4" t="n"/>
      <c r="D801" s="4" t="n"/>
      <c r="E801" s="4" t="n"/>
      <c r="F801" s="11" t="n"/>
      <c r="G801" s="4" t="n"/>
      <c r="H801" s="11" t="n"/>
      <c r="I801" s="11" t="n"/>
      <c r="J801" s="9">
        <f>IF(OR(F801="",H801=""),"",IF(F801&gt;H801,E801,IF(H801&gt;F801,G801,"")))</f>
        <v/>
      </c>
      <c r="K801" s="4" t="n"/>
      <c r="L801" s="9">
        <f>IF(COUNTA(A801,C801,D801,E801,F801,G801,H801,I801)=0,"",IF(OR(A801="",C801="",E801="",G801=""),"Missing week/class/team",IF(AND(D801="",I801&lt;&gt;"Y"),"No chapter (forfeit?)",IF(AND(D801&lt;&gt;"",I801="Y"),"Forfeit has a chapter",IF(OR(F801="",H801=""),"Missing score",IF(F801=H801,"Tie score",IF(COUNTIFS($A$2:$A$801,A801,$E$2:$E$801,E801)+COUNTIFS($A$2:$A$801,A801,$G$2:$G$801,E801)&gt;1,"Team 1 listed twice this week",IF(COUNTIFS($A$2:$A$801,A801,$E$2:$E$801,G801)+COUNTIFS($A$2:$A$801,A801,$G$2:$G$801,G801)&gt;1,"Team 2 listed twice this week",""))))))))</f>
        <v/>
      </c>
    </row>
  </sheetData>
  <autoFilter ref="A1:L801"/>
  <conditionalFormatting sqref="L2:L801">
    <cfRule type="expression" priority="1" dxfId="0">
      <formula>LEN(L2)&gt;0</formula>
    </cfRule>
  </conditionalFormatting>
  <dataValidations count="5">
    <dataValidation sqref="A2:A801" showDropDown="0" showInputMessage="0" showErrorMessage="1" allowBlank="1" errorTitle="Week" error="Week must be 1–6." type="list">
      <formula1>"1,2,3,4,5,6"</formula1>
    </dataValidation>
    <dataValidation sqref="C2:C801" showDropDown="0" showInputMessage="0" showErrorMessage="1" allowBlank="1" errorTitle="Classification" error="Pick a classification from the list." type="list">
      <formula1>Lists!$D$2:$D$13</formula1>
    </dataValidation>
    <dataValidation sqref="D2:D801" showDropDown="0" showInputMessage="0" showErrorMessage="1" allowBlank="1" errorTitle="Chapter" error="Pick a chapter code from the list (add new ones on the Lists tab)." type="list">
      <formula1>Lists!$A$2:$A$41</formula1>
    </dataValidation>
    <dataValidation sqref="I2:I801" showDropDown="0" showInputMessage="0" showErrorMessage="1" allowBlank="1" errorTitle="Forfeit" error="Use Y for a forfeit, otherwise leave blank." type="list">
      <formula1>"Y"</formula1>
    </dataValidation>
    <dataValidation sqref="F2:F801 H2:H801" showDropDown="0" showInputMessage="0" showErrorMessage="1" allowBlank="1" errorTitle="Score" error="Score must be a whole number 0–200." type="whole" operator="between">
      <formula1>0</formula1>
      <formula2>200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4" customWidth="1" min="8" max="8"/>
    <col width="10" customWidth="1" min="9" max="9"/>
  </cols>
  <sheetData>
    <row r="1" ht="32" customHeight="1">
      <c r="A1" s="10" t="inlineStr">
        <is>
          <t>Code</t>
        </is>
      </c>
      <c r="B1" s="10" t="inlineStr">
        <is>
          <t>Chapter</t>
        </is>
      </c>
      <c r="C1" s="10" t="inlineStr">
        <is>
          <t>Wk 1
Bi-District</t>
        </is>
      </c>
      <c r="D1" s="10" t="inlineStr">
        <is>
          <t>Wk 2
Area</t>
        </is>
      </c>
      <c r="E1" s="10" t="inlineStr">
        <is>
          <t>Wk 3
Regionals</t>
        </is>
      </c>
      <c r="F1" s="10" t="inlineStr">
        <is>
          <t>Wk 4
Quarterfinals</t>
        </is>
      </c>
      <c r="G1" s="10" t="inlineStr">
        <is>
          <t>Wk 5
Semifinals</t>
        </is>
      </c>
      <c r="H1" s="10" t="inlineStr">
        <is>
          <t>Wk 6
Championship</t>
        </is>
      </c>
      <c r="I1" s="10" t="inlineStr">
        <is>
          <t>Total</t>
        </is>
      </c>
    </row>
    <row r="2">
      <c r="A2" s="9">
        <f>IF(Lists!A2="","",Lists!A2)</f>
        <v/>
      </c>
      <c r="B2" s="9">
        <f>IF(Lists!B2="","",Lists!B2)</f>
        <v/>
      </c>
      <c r="C2" s="9">
        <f>IF($A2="","",COUNTIFS(Games!$D$2:$D$801,$A2,Games!$A$2:$A$801,1))</f>
        <v/>
      </c>
      <c r="D2" s="9">
        <f>IF($A2="","",COUNTIFS(Games!$D$2:$D$801,$A2,Games!$A$2:$A$801,2))</f>
        <v/>
      </c>
      <c r="E2" s="9">
        <f>IF($A2="","",COUNTIFS(Games!$D$2:$D$801,$A2,Games!$A$2:$A$801,3))</f>
        <v/>
      </c>
      <c r="F2" s="9">
        <f>IF($A2="","",COUNTIFS(Games!$D$2:$D$801,$A2,Games!$A$2:$A$801,4))</f>
        <v/>
      </c>
      <c r="G2" s="9">
        <f>IF($A2="","",COUNTIFS(Games!$D$2:$D$801,$A2,Games!$A$2:$A$801,5))</f>
        <v/>
      </c>
      <c r="H2" s="9">
        <f>IF($A2="","",COUNTIFS(Games!$D$2:$D$801,$A2,Games!$A$2:$A$801,6))</f>
        <v/>
      </c>
      <c r="I2" s="9">
        <f>IF($A2="","",SUM(C2:H2))</f>
        <v/>
      </c>
    </row>
    <row r="3">
      <c r="A3" s="9">
        <f>IF(Lists!A3="","",Lists!A3)</f>
        <v/>
      </c>
      <c r="B3" s="9">
        <f>IF(Lists!B3="","",Lists!B3)</f>
        <v/>
      </c>
      <c r="C3" s="9">
        <f>IF($A3="","",COUNTIFS(Games!$D$2:$D$801,$A3,Games!$A$2:$A$801,1))</f>
        <v/>
      </c>
      <c r="D3" s="9">
        <f>IF($A3="","",COUNTIFS(Games!$D$2:$D$801,$A3,Games!$A$2:$A$801,2))</f>
        <v/>
      </c>
      <c r="E3" s="9">
        <f>IF($A3="","",COUNTIFS(Games!$D$2:$D$801,$A3,Games!$A$2:$A$801,3))</f>
        <v/>
      </c>
      <c r="F3" s="9">
        <f>IF($A3="","",COUNTIFS(Games!$D$2:$D$801,$A3,Games!$A$2:$A$801,4))</f>
        <v/>
      </c>
      <c r="G3" s="9">
        <f>IF($A3="","",COUNTIFS(Games!$D$2:$D$801,$A3,Games!$A$2:$A$801,5))</f>
        <v/>
      </c>
      <c r="H3" s="9">
        <f>IF($A3="","",COUNTIFS(Games!$D$2:$D$801,$A3,Games!$A$2:$A$801,6))</f>
        <v/>
      </c>
      <c r="I3" s="9">
        <f>IF($A3="","",SUM(C3:H3))</f>
        <v/>
      </c>
    </row>
    <row r="4">
      <c r="A4" s="9">
        <f>IF(Lists!A4="","",Lists!A4)</f>
        <v/>
      </c>
      <c r="B4" s="9">
        <f>IF(Lists!B4="","",Lists!B4)</f>
        <v/>
      </c>
      <c r="C4" s="9">
        <f>IF($A4="","",COUNTIFS(Games!$D$2:$D$801,$A4,Games!$A$2:$A$801,1))</f>
        <v/>
      </c>
      <c r="D4" s="9">
        <f>IF($A4="","",COUNTIFS(Games!$D$2:$D$801,$A4,Games!$A$2:$A$801,2))</f>
        <v/>
      </c>
      <c r="E4" s="9">
        <f>IF($A4="","",COUNTIFS(Games!$D$2:$D$801,$A4,Games!$A$2:$A$801,3))</f>
        <v/>
      </c>
      <c r="F4" s="9">
        <f>IF($A4="","",COUNTIFS(Games!$D$2:$D$801,$A4,Games!$A$2:$A$801,4))</f>
        <v/>
      </c>
      <c r="G4" s="9">
        <f>IF($A4="","",COUNTIFS(Games!$D$2:$D$801,$A4,Games!$A$2:$A$801,5))</f>
        <v/>
      </c>
      <c r="H4" s="9">
        <f>IF($A4="","",COUNTIFS(Games!$D$2:$D$801,$A4,Games!$A$2:$A$801,6))</f>
        <v/>
      </c>
      <c r="I4" s="9">
        <f>IF($A4="","",SUM(C4:H4))</f>
        <v/>
      </c>
    </row>
    <row r="5">
      <c r="A5" s="9">
        <f>IF(Lists!A5="","",Lists!A5)</f>
        <v/>
      </c>
      <c r="B5" s="9">
        <f>IF(Lists!B5="","",Lists!B5)</f>
        <v/>
      </c>
      <c r="C5" s="9">
        <f>IF($A5="","",COUNTIFS(Games!$D$2:$D$801,$A5,Games!$A$2:$A$801,1))</f>
        <v/>
      </c>
      <c r="D5" s="9">
        <f>IF($A5="","",COUNTIFS(Games!$D$2:$D$801,$A5,Games!$A$2:$A$801,2))</f>
        <v/>
      </c>
      <c r="E5" s="9">
        <f>IF($A5="","",COUNTIFS(Games!$D$2:$D$801,$A5,Games!$A$2:$A$801,3))</f>
        <v/>
      </c>
      <c r="F5" s="9">
        <f>IF($A5="","",COUNTIFS(Games!$D$2:$D$801,$A5,Games!$A$2:$A$801,4))</f>
        <v/>
      </c>
      <c r="G5" s="9">
        <f>IF($A5="","",COUNTIFS(Games!$D$2:$D$801,$A5,Games!$A$2:$A$801,5))</f>
        <v/>
      </c>
      <c r="H5" s="9">
        <f>IF($A5="","",COUNTIFS(Games!$D$2:$D$801,$A5,Games!$A$2:$A$801,6))</f>
        <v/>
      </c>
      <c r="I5" s="9">
        <f>IF($A5="","",SUM(C5:H5))</f>
        <v/>
      </c>
    </row>
    <row r="6">
      <c r="A6" s="9">
        <f>IF(Lists!A6="","",Lists!A6)</f>
        <v/>
      </c>
      <c r="B6" s="9">
        <f>IF(Lists!B6="","",Lists!B6)</f>
        <v/>
      </c>
      <c r="C6" s="9">
        <f>IF($A6="","",COUNTIFS(Games!$D$2:$D$801,$A6,Games!$A$2:$A$801,1))</f>
        <v/>
      </c>
      <c r="D6" s="9">
        <f>IF($A6="","",COUNTIFS(Games!$D$2:$D$801,$A6,Games!$A$2:$A$801,2))</f>
        <v/>
      </c>
      <c r="E6" s="9">
        <f>IF($A6="","",COUNTIFS(Games!$D$2:$D$801,$A6,Games!$A$2:$A$801,3))</f>
        <v/>
      </c>
      <c r="F6" s="9">
        <f>IF($A6="","",COUNTIFS(Games!$D$2:$D$801,$A6,Games!$A$2:$A$801,4))</f>
        <v/>
      </c>
      <c r="G6" s="9">
        <f>IF($A6="","",COUNTIFS(Games!$D$2:$D$801,$A6,Games!$A$2:$A$801,5))</f>
        <v/>
      </c>
      <c r="H6" s="9">
        <f>IF($A6="","",COUNTIFS(Games!$D$2:$D$801,$A6,Games!$A$2:$A$801,6))</f>
        <v/>
      </c>
      <c r="I6" s="9">
        <f>IF($A6="","",SUM(C6:H6))</f>
        <v/>
      </c>
    </row>
    <row r="7">
      <c r="A7" s="9">
        <f>IF(Lists!A7="","",Lists!A7)</f>
        <v/>
      </c>
      <c r="B7" s="9">
        <f>IF(Lists!B7="","",Lists!B7)</f>
        <v/>
      </c>
      <c r="C7" s="9">
        <f>IF($A7="","",COUNTIFS(Games!$D$2:$D$801,$A7,Games!$A$2:$A$801,1))</f>
        <v/>
      </c>
      <c r="D7" s="9">
        <f>IF($A7="","",COUNTIFS(Games!$D$2:$D$801,$A7,Games!$A$2:$A$801,2))</f>
        <v/>
      </c>
      <c r="E7" s="9">
        <f>IF($A7="","",COUNTIFS(Games!$D$2:$D$801,$A7,Games!$A$2:$A$801,3))</f>
        <v/>
      </c>
      <c r="F7" s="9">
        <f>IF($A7="","",COUNTIFS(Games!$D$2:$D$801,$A7,Games!$A$2:$A$801,4))</f>
        <v/>
      </c>
      <c r="G7" s="9">
        <f>IF($A7="","",COUNTIFS(Games!$D$2:$D$801,$A7,Games!$A$2:$A$801,5))</f>
        <v/>
      </c>
      <c r="H7" s="9">
        <f>IF($A7="","",COUNTIFS(Games!$D$2:$D$801,$A7,Games!$A$2:$A$801,6))</f>
        <v/>
      </c>
      <c r="I7" s="9">
        <f>IF($A7="","",SUM(C7:H7))</f>
        <v/>
      </c>
    </row>
    <row r="8">
      <c r="A8" s="9">
        <f>IF(Lists!A8="","",Lists!A8)</f>
        <v/>
      </c>
      <c r="B8" s="9">
        <f>IF(Lists!B8="","",Lists!B8)</f>
        <v/>
      </c>
      <c r="C8" s="9">
        <f>IF($A8="","",COUNTIFS(Games!$D$2:$D$801,$A8,Games!$A$2:$A$801,1))</f>
        <v/>
      </c>
      <c r="D8" s="9">
        <f>IF($A8="","",COUNTIFS(Games!$D$2:$D$801,$A8,Games!$A$2:$A$801,2))</f>
        <v/>
      </c>
      <c r="E8" s="9">
        <f>IF($A8="","",COUNTIFS(Games!$D$2:$D$801,$A8,Games!$A$2:$A$801,3))</f>
        <v/>
      </c>
      <c r="F8" s="9">
        <f>IF($A8="","",COUNTIFS(Games!$D$2:$D$801,$A8,Games!$A$2:$A$801,4))</f>
        <v/>
      </c>
      <c r="G8" s="9">
        <f>IF($A8="","",COUNTIFS(Games!$D$2:$D$801,$A8,Games!$A$2:$A$801,5))</f>
        <v/>
      </c>
      <c r="H8" s="9">
        <f>IF($A8="","",COUNTIFS(Games!$D$2:$D$801,$A8,Games!$A$2:$A$801,6))</f>
        <v/>
      </c>
      <c r="I8" s="9">
        <f>IF($A8="","",SUM(C8:H8))</f>
        <v/>
      </c>
    </row>
    <row r="9">
      <c r="A9" s="9">
        <f>IF(Lists!A9="","",Lists!A9)</f>
        <v/>
      </c>
      <c r="B9" s="9">
        <f>IF(Lists!B9="","",Lists!B9)</f>
        <v/>
      </c>
      <c r="C9" s="9">
        <f>IF($A9="","",COUNTIFS(Games!$D$2:$D$801,$A9,Games!$A$2:$A$801,1))</f>
        <v/>
      </c>
      <c r="D9" s="9">
        <f>IF($A9="","",COUNTIFS(Games!$D$2:$D$801,$A9,Games!$A$2:$A$801,2))</f>
        <v/>
      </c>
      <c r="E9" s="9">
        <f>IF($A9="","",COUNTIFS(Games!$D$2:$D$801,$A9,Games!$A$2:$A$801,3))</f>
        <v/>
      </c>
      <c r="F9" s="9">
        <f>IF($A9="","",COUNTIFS(Games!$D$2:$D$801,$A9,Games!$A$2:$A$801,4))</f>
        <v/>
      </c>
      <c r="G9" s="9">
        <f>IF($A9="","",COUNTIFS(Games!$D$2:$D$801,$A9,Games!$A$2:$A$801,5))</f>
        <v/>
      </c>
      <c r="H9" s="9">
        <f>IF($A9="","",COUNTIFS(Games!$D$2:$D$801,$A9,Games!$A$2:$A$801,6))</f>
        <v/>
      </c>
      <c r="I9" s="9">
        <f>IF($A9="","",SUM(C9:H9))</f>
        <v/>
      </c>
    </row>
    <row r="10">
      <c r="A10" s="9">
        <f>IF(Lists!A10="","",Lists!A10)</f>
        <v/>
      </c>
      <c r="B10" s="9">
        <f>IF(Lists!B10="","",Lists!B10)</f>
        <v/>
      </c>
      <c r="C10" s="9">
        <f>IF($A10="","",COUNTIFS(Games!$D$2:$D$801,$A10,Games!$A$2:$A$801,1))</f>
        <v/>
      </c>
      <c r="D10" s="9">
        <f>IF($A10="","",COUNTIFS(Games!$D$2:$D$801,$A10,Games!$A$2:$A$801,2))</f>
        <v/>
      </c>
      <c r="E10" s="9">
        <f>IF($A10="","",COUNTIFS(Games!$D$2:$D$801,$A10,Games!$A$2:$A$801,3))</f>
        <v/>
      </c>
      <c r="F10" s="9">
        <f>IF($A10="","",COUNTIFS(Games!$D$2:$D$801,$A10,Games!$A$2:$A$801,4))</f>
        <v/>
      </c>
      <c r="G10" s="9">
        <f>IF($A10="","",COUNTIFS(Games!$D$2:$D$801,$A10,Games!$A$2:$A$801,5))</f>
        <v/>
      </c>
      <c r="H10" s="9">
        <f>IF($A10="","",COUNTIFS(Games!$D$2:$D$801,$A10,Games!$A$2:$A$801,6))</f>
        <v/>
      </c>
      <c r="I10" s="9">
        <f>IF($A10="","",SUM(C10:H10))</f>
        <v/>
      </c>
    </row>
    <row r="11">
      <c r="A11" s="9">
        <f>IF(Lists!A11="","",Lists!A11)</f>
        <v/>
      </c>
      <c r="B11" s="9">
        <f>IF(Lists!B11="","",Lists!B11)</f>
        <v/>
      </c>
      <c r="C11" s="9">
        <f>IF($A11="","",COUNTIFS(Games!$D$2:$D$801,$A11,Games!$A$2:$A$801,1))</f>
        <v/>
      </c>
      <c r="D11" s="9">
        <f>IF($A11="","",COUNTIFS(Games!$D$2:$D$801,$A11,Games!$A$2:$A$801,2))</f>
        <v/>
      </c>
      <c r="E11" s="9">
        <f>IF($A11="","",COUNTIFS(Games!$D$2:$D$801,$A11,Games!$A$2:$A$801,3))</f>
        <v/>
      </c>
      <c r="F11" s="9">
        <f>IF($A11="","",COUNTIFS(Games!$D$2:$D$801,$A11,Games!$A$2:$A$801,4))</f>
        <v/>
      </c>
      <c r="G11" s="9">
        <f>IF($A11="","",COUNTIFS(Games!$D$2:$D$801,$A11,Games!$A$2:$A$801,5))</f>
        <v/>
      </c>
      <c r="H11" s="9">
        <f>IF($A11="","",COUNTIFS(Games!$D$2:$D$801,$A11,Games!$A$2:$A$801,6))</f>
        <v/>
      </c>
      <c r="I11" s="9">
        <f>IF($A11="","",SUM(C11:H11))</f>
        <v/>
      </c>
    </row>
    <row r="12">
      <c r="A12" s="9">
        <f>IF(Lists!A12="","",Lists!A12)</f>
        <v/>
      </c>
      <c r="B12" s="9">
        <f>IF(Lists!B12="","",Lists!B12)</f>
        <v/>
      </c>
      <c r="C12" s="9">
        <f>IF($A12="","",COUNTIFS(Games!$D$2:$D$801,$A12,Games!$A$2:$A$801,1))</f>
        <v/>
      </c>
      <c r="D12" s="9">
        <f>IF($A12="","",COUNTIFS(Games!$D$2:$D$801,$A12,Games!$A$2:$A$801,2))</f>
        <v/>
      </c>
      <c r="E12" s="9">
        <f>IF($A12="","",COUNTIFS(Games!$D$2:$D$801,$A12,Games!$A$2:$A$801,3))</f>
        <v/>
      </c>
      <c r="F12" s="9">
        <f>IF($A12="","",COUNTIFS(Games!$D$2:$D$801,$A12,Games!$A$2:$A$801,4))</f>
        <v/>
      </c>
      <c r="G12" s="9">
        <f>IF($A12="","",COUNTIFS(Games!$D$2:$D$801,$A12,Games!$A$2:$A$801,5))</f>
        <v/>
      </c>
      <c r="H12" s="9">
        <f>IF($A12="","",COUNTIFS(Games!$D$2:$D$801,$A12,Games!$A$2:$A$801,6))</f>
        <v/>
      </c>
      <c r="I12" s="9">
        <f>IF($A12="","",SUM(C12:H12))</f>
        <v/>
      </c>
    </row>
    <row r="13">
      <c r="A13" s="9">
        <f>IF(Lists!A13="","",Lists!A13)</f>
        <v/>
      </c>
      <c r="B13" s="9">
        <f>IF(Lists!B13="","",Lists!B13)</f>
        <v/>
      </c>
      <c r="C13" s="9">
        <f>IF($A13="","",COUNTIFS(Games!$D$2:$D$801,$A13,Games!$A$2:$A$801,1))</f>
        <v/>
      </c>
      <c r="D13" s="9">
        <f>IF($A13="","",COUNTIFS(Games!$D$2:$D$801,$A13,Games!$A$2:$A$801,2))</f>
        <v/>
      </c>
      <c r="E13" s="9">
        <f>IF($A13="","",COUNTIFS(Games!$D$2:$D$801,$A13,Games!$A$2:$A$801,3))</f>
        <v/>
      </c>
      <c r="F13" s="9">
        <f>IF($A13="","",COUNTIFS(Games!$D$2:$D$801,$A13,Games!$A$2:$A$801,4))</f>
        <v/>
      </c>
      <c r="G13" s="9">
        <f>IF($A13="","",COUNTIFS(Games!$D$2:$D$801,$A13,Games!$A$2:$A$801,5))</f>
        <v/>
      </c>
      <c r="H13" s="9">
        <f>IF($A13="","",COUNTIFS(Games!$D$2:$D$801,$A13,Games!$A$2:$A$801,6))</f>
        <v/>
      </c>
      <c r="I13" s="9">
        <f>IF($A13="","",SUM(C13:H13))</f>
        <v/>
      </c>
    </row>
    <row r="14">
      <c r="A14" s="9">
        <f>IF(Lists!A14="","",Lists!A14)</f>
        <v/>
      </c>
      <c r="B14" s="9">
        <f>IF(Lists!B14="","",Lists!B14)</f>
        <v/>
      </c>
      <c r="C14" s="9">
        <f>IF($A14="","",COUNTIFS(Games!$D$2:$D$801,$A14,Games!$A$2:$A$801,1))</f>
        <v/>
      </c>
      <c r="D14" s="9">
        <f>IF($A14="","",COUNTIFS(Games!$D$2:$D$801,$A14,Games!$A$2:$A$801,2))</f>
        <v/>
      </c>
      <c r="E14" s="9">
        <f>IF($A14="","",COUNTIFS(Games!$D$2:$D$801,$A14,Games!$A$2:$A$801,3))</f>
        <v/>
      </c>
      <c r="F14" s="9">
        <f>IF($A14="","",COUNTIFS(Games!$D$2:$D$801,$A14,Games!$A$2:$A$801,4))</f>
        <v/>
      </c>
      <c r="G14" s="9">
        <f>IF($A14="","",COUNTIFS(Games!$D$2:$D$801,$A14,Games!$A$2:$A$801,5))</f>
        <v/>
      </c>
      <c r="H14" s="9">
        <f>IF($A14="","",COUNTIFS(Games!$D$2:$D$801,$A14,Games!$A$2:$A$801,6))</f>
        <v/>
      </c>
      <c r="I14" s="9">
        <f>IF($A14="","",SUM(C14:H14))</f>
        <v/>
      </c>
    </row>
    <row r="15">
      <c r="A15" s="9">
        <f>IF(Lists!A15="","",Lists!A15)</f>
        <v/>
      </c>
      <c r="B15" s="9">
        <f>IF(Lists!B15="","",Lists!B15)</f>
        <v/>
      </c>
      <c r="C15" s="9">
        <f>IF($A15="","",COUNTIFS(Games!$D$2:$D$801,$A15,Games!$A$2:$A$801,1))</f>
        <v/>
      </c>
      <c r="D15" s="9">
        <f>IF($A15="","",COUNTIFS(Games!$D$2:$D$801,$A15,Games!$A$2:$A$801,2))</f>
        <v/>
      </c>
      <c r="E15" s="9">
        <f>IF($A15="","",COUNTIFS(Games!$D$2:$D$801,$A15,Games!$A$2:$A$801,3))</f>
        <v/>
      </c>
      <c r="F15" s="9">
        <f>IF($A15="","",COUNTIFS(Games!$D$2:$D$801,$A15,Games!$A$2:$A$801,4))</f>
        <v/>
      </c>
      <c r="G15" s="9">
        <f>IF($A15="","",COUNTIFS(Games!$D$2:$D$801,$A15,Games!$A$2:$A$801,5))</f>
        <v/>
      </c>
      <c r="H15" s="9">
        <f>IF($A15="","",COUNTIFS(Games!$D$2:$D$801,$A15,Games!$A$2:$A$801,6))</f>
        <v/>
      </c>
      <c r="I15" s="9">
        <f>IF($A15="","",SUM(C15:H15))</f>
        <v/>
      </c>
    </row>
    <row r="16">
      <c r="A16" s="9">
        <f>IF(Lists!A16="","",Lists!A16)</f>
        <v/>
      </c>
      <c r="B16" s="9">
        <f>IF(Lists!B16="","",Lists!B16)</f>
        <v/>
      </c>
      <c r="C16" s="9">
        <f>IF($A16="","",COUNTIFS(Games!$D$2:$D$801,$A16,Games!$A$2:$A$801,1))</f>
        <v/>
      </c>
      <c r="D16" s="9">
        <f>IF($A16="","",COUNTIFS(Games!$D$2:$D$801,$A16,Games!$A$2:$A$801,2))</f>
        <v/>
      </c>
      <c r="E16" s="9">
        <f>IF($A16="","",COUNTIFS(Games!$D$2:$D$801,$A16,Games!$A$2:$A$801,3))</f>
        <v/>
      </c>
      <c r="F16" s="9">
        <f>IF($A16="","",COUNTIFS(Games!$D$2:$D$801,$A16,Games!$A$2:$A$801,4))</f>
        <v/>
      </c>
      <c r="G16" s="9">
        <f>IF($A16="","",COUNTIFS(Games!$D$2:$D$801,$A16,Games!$A$2:$A$801,5))</f>
        <v/>
      </c>
      <c r="H16" s="9">
        <f>IF($A16="","",COUNTIFS(Games!$D$2:$D$801,$A16,Games!$A$2:$A$801,6))</f>
        <v/>
      </c>
      <c r="I16" s="9">
        <f>IF($A16="","",SUM(C16:H16))</f>
        <v/>
      </c>
    </row>
    <row r="17">
      <c r="A17" s="9">
        <f>IF(Lists!A17="","",Lists!A17)</f>
        <v/>
      </c>
      <c r="B17" s="9">
        <f>IF(Lists!B17="","",Lists!B17)</f>
        <v/>
      </c>
      <c r="C17" s="9">
        <f>IF($A17="","",COUNTIFS(Games!$D$2:$D$801,$A17,Games!$A$2:$A$801,1))</f>
        <v/>
      </c>
      <c r="D17" s="9">
        <f>IF($A17="","",COUNTIFS(Games!$D$2:$D$801,$A17,Games!$A$2:$A$801,2))</f>
        <v/>
      </c>
      <c r="E17" s="9">
        <f>IF($A17="","",COUNTIFS(Games!$D$2:$D$801,$A17,Games!$A$2:$A$801,3))</f>
        <v/>
      </c>
      <c r="F17" s="9">
        <f>IF($A17="","",COUNTIFS(Games!$D$2:$D$801,$A17,Games!$A$2:$A$801,4))</f>
        <v/>
      </c>
      <c r="G17" s="9">
        <f>IF($A17="","",COUNTIFS(Games!$D$2:$D$801,$A17,Games!$A$2:$A$801,5))</f>
        <v/>
      </c>
      <c r="H17" s="9">
        <f>IF($A17="","",COUNTIFS(Games!$D$2:$D$801,$A17,Games!$A$2:$A$801,6))</f>
        <v/>
      </c>
      <c r="I17" s="9">
        <f>IF($A17="","",SUM(C17:H17))</f>
        <v/>
      </c>
    </row>
    <row r="18">
      <c r="A18" s="9">
        <f>IF(Lists!A18="","",Lists!A18)</f>
        <v/>
      </c>
      <c r="B18" s="9">
        <f>IF(Lists!B18="","",Lists!B18)</f>
        <v/>
      </c>
      <c r="C18" s="9">
        <f>IF($A18="","",COUNTIFS(Games!$D$2:$D$801,$A18,Games!$A$2:$A$801,1))</f>
        <v/>
      </c>
      <c r="D18" s="9">
        <f>IF($A18="","",COUNTIFS(Games!$D$2:$D$801,$A18,Games!$A$2:$A$801,2))</f>
        <v/>
      </c>
      <c r="E18" s="9">
        <f>IF($A18="","",COUNTIFS(Games!$D$2:$D$801,$A18,Games!$A$2:$A$801,3))</f>
        <v/>
      </c>
      <c r="F18" s="9">
        <f>IF($A18="","",COUNTIFS(Games!$D$2:$D$801,$A18,Games!$A$2:$A$801,4))</f>
        <v/>
      </c>
      <c r="G18" s="9">
        <f>IF($A18="","",COUNTIFS(Games!$D$2:$D$801,$A18,Games!$A$2:$A$801,5))</f>
        <v/>
      </c>
      <c r="H18" s="9">
        <f>IF($A18="","",COUNTIFS(Games!$D$2:$D$801,$A18,Games!$A$2:$A$801,6))</f>
        <v/>
      </c>
      <c r="I18" s="9">
        <f>IF($A18="","",SUM(C18:H18))</f>
        <v/>
      </c>
    </row>
    <row r="19">
      <c r="A19" s="9">
        <f>IF(Lists!A19="","",Lists!A19)</f>
        <v/>
      </c>
      <c r="B19" s="9">
        <f>IF(Lists!B19="","",Lists!B19)</f>
        <v/>
      </c>
      <c r="C19" s="9">
        <f>IF($A19="","",COUNTIFS(Games!$D$2:$D$801,$A19,Games!$A$2:$A$801,1))</f>
        <v/>
      </c>
      <c r="D19" s="9">
        <f>IF($A19="","",COUNTIFS(Games!$D$2:$D$801,$A19,Games!$A$2:$A$801,2))</f>
        <v/>
      </c>
      <c r="E19" s="9">
        <f>IF($A19="","",COUNTIFS(Games!$D$2:$D$801,$A19,Games!$A$2:$A$801,3))</f>
        <v/>
      </c>
      <c r="F19" s="9">
        <f>IF($A19="","",COUNTIFS(Games!$D$2:$D$801,$A19,Games!$A$2:$A$801,4))</f>
        <v/>
      </c>
      <c r="G19" s="9">
        <f>IF($A19="","",COUNTIFS(Games!$D$2:$D$801,$A19,Games!$A$2:$A$801,5))</f>
        <v/>
      </c>
      <c r="H19" s="9">
        <f>IF($A19="","",COUNTIFS(Games!$D$2:$D$801,$A19,Games!$A$2:$A$801,6))</f>
        <v/>
      </c>
      <c r="I19" s="9">
        <f>IF($A19="","",SUM(C19:H19))</f>
        <v/>
      </c>
    </row>
    <row r="20">
      <c r="A20" s="9">
        <f>IF(Lists!A20="","",Lists!A20)</f>
        <v/>
      </c>
      <c r="B20" s="9">
        <f>IF(Lists!B20="","",Lists!B20)</f>
        <v/>
      </c>
      <c r="C20" s="9">
        <f>IF($A20="","",COUNTIFS(Games!$D$2:$D$801,$A20,Games!$A$2:$A$801,1))</f>
        <v/>
      </c>
      <c r="D20" s="9">
        <f>IF($A20="","",COUNTIFS(Games!$D$2:$D$801,$A20,Games!$A$2:$A$801,2))</f>
        <v/>
      </c>
      <c r="E20" s="9">
        <f>IF($A20="","",COUNTIFS(Games!$D$2:$D$801,$A20,Games!$A$2:$A$801,3))</f>
        <v/>
      </c>
      <c r="F20" s="9">
        <f>IF($A20="","",COUNTIFS(Games!$D$2:$D$801,$A20,Games!$A$2:$A$801,4))</f>
        <v/>
      </c>
      <c r="G20" s="9">
        <f>IF($A20="","",COUNTIFS(Games!$D$2:$D$801,$A20,Games!$A$2:$A$801,5))</f>
        <v/>
      </c>
      <c r="H20" s="9">
        <f>IF($A20="","",COUNTIFS(Games!$D$2:$D$801,$A20,Games!$A$2:$A$801,6))</f>
        <v/>
      </c>
      <c r="I20" s="9">
        <f>IF($A20="","",SUM(C20:H20))</f>
        <v/>
      </c>
    </row>
    <row r="21">
      <c r="A21" s="9">
        <f>IF(Lists!A21="","",Lists!A21)</f>
        <v/>
      </c>
      <c r="B21" s="9">
        <f>IF(Lists!B21="","",Lists!B21)</f>
        <v/>
      </c>
      <c r="C21" s="9">
        <f>IF($A21="","",COUNTIFS(Games!$D$2:$D$801,$A21,Games!$A$2:$A$801,1))</f>
        <v/>
      </c>
      <c r="D21" s="9">
        <f>IF($A21="","",COUNTIFS(Games!$D$2:$D$801,$A21,Games!$A$2:$A$801,2))</f>
        <v/>
      </c>
      <c r="E21" s="9">
        <f>IF($A21="","",COUNTIFS(Games!$D$2:$D$801,$A21,Games!$A$2:$A$801,3))</f>
        <v/>
      </c>
      <c r="F21" s="9">
        <f>IF($A21="","",COUNTIFS(Games!$D$2:$D$801,$A21,Games!$A$2:$A$801,4))</f>
        <v/>
      </c>
      <c r="G21" s="9">
        <f>IF($A21="","",COUNTIFS(Games!$D$2:$D$801,$A21,Games!$A$2:$A$801,5))</f>
        <v/>
      </c>
      <c r="H21" s="9">
        <f>IF($A21="","",COUNTIFS(Games!$D$2:$D$801,$A21,Games!$A$2:$A$801,6))</f>
        <v/>
      </c>
      <c r="I21" s="9">
        <f>IF($A21="","",SUM(C21:H21))</f>
        <v/>
      </c>
    </row>
    <row r="22">
      <c r="A22" s="9">
        <f>IF(Lists!A22="","",Lists!A22)</f>
        <v/>
      </c>
      <c r="B22" s="9">
        <f>IF(Lists!B22="","",Lists!B22)</f>
        <v/>
      </c>
      <c r="C22" s="9">
        <f>IF($A22="","",COUNTIFS(Games!$D$2:$D$801,$A22,Games!$A$2:$A$801,1))</f>
        <v/>
      </c>
      <c r="D22" s="9">
        <f>IF($A22="","",COUNTIFS(Games!$D$2:$D$801,$A22,Games!$A$2:$A$801,2))</f>
        <v/>
      </c>
      <c r="E22" s="9">
        <f>IF($A22="","",COUNTIFS(Games!$D$2:$D$801,$A22,Games!$A$2:$A$801,3))</f>
        <v/>
      </c>
      <c r="F22" s="9">
        <f>IF($A22="","",COUNTIFS(Games!$D$2:$D$801,$A22,Games!$A$2:$A$801,4))</f>
        <v/>
      </c>
      <c r="G22" s="9">
        <f>IF($A22="","",COUNTIFS(Games!$D$2:$D$801,$A22,Games!$A$2:$A$801,5))</f>
        <v/>
      </c>
      <c r="H22" s="9">
        <f>IF($A22="","",COUNTIFS(Games!$D$2:$D$801,$A22,Games!$A$2:$A$801,6))</f>
        <v/>
      </c>
      <c r="I22" s="9">
        <f>IF($A22="","",SUM(C22:H22))</f>
        <v/>
      </c>
    </row>
    <row r="23">
      <c r="A23" s="9">
        <f>IF(Lists!A23="","",Lists!A23)</f>
        <v/>
      </c>
      <c r="B23" s="9">
        <f>IF(Lists!B23="","",Lists!B23)</f>
        <v/>
      </c>
      <c r="C23" s="9">
        <f>IF($A23="","",COUNTIFS(Games!$D$2:$D$801,$A23,Games!$A$2:$A$801,1))</f>
        <v/>
      </c>
      <c r="D23" s="9">
        <f>IF($A23="","",COUNTIFS(Games!$D$2:$D$801,$A23,Games!$A$2:$A$801,2))</f>
        <v/>
      </c>
      <c r="E23" s="9">
        <f>IF($A23="","",COUNTIFS(Games!$D$2:$D$801,$A23,Games!$A$2:$A$801,3))</f>
        <v/>
      </c>
      <c r="F23" s="9">
        <f>IF($A23="","",COUNTIFS(Games!$D$2:$D$801,$A23,Games!$A$2:$A$801,4))</f>
        <v/>
      </c>
      <c r="G23" s="9">
        <f>IF($A23="","",COUNTIFS(Games!$D$2:$D$801,$A23,Games!$A$2:$A$801,5))</f>
        <v/>
      </c>
      <c r="H23" s="9">
        <f>IF($A23="","",COUNTIFS(Games!$D$2:$D$801,$A23,Games!$A$2:$A$801,6))</f>
        <v/>
      </c>
      <c r="I23" s="9">
        <f>IF($A23="","",SUM(C23:H23))</f>
        <v/>
      </c>
    </row>
    <row r="24">
      <c r="A24" s="9">
        <f>IF(Lists!A24="","",Lists!A24)</f>
        <v/>
      </c>
      <c r="B24" s="9">
        <f>IF(Lists!B24="","",Lists!B24)</f>
        <v/>
      </c>
      <c r="C24" s="9">
        <f>IF($A24="","",COUNTIFS(Games!$D$2:$D$801,$A24,Games!$A$2:$A$801,1))</f>
        <v/>
      </c>
      <c r="D24" s="9">
        <f>IF($A24="","",COUNTIFS(Games!$D$2:$D$801,$A24,Games!$A$2:$A$801,2))</f>
        <v/>
      </c>
      <c r="E24" s="9">
        <f>IF($A24="","",COUNTIFS(Games!$D$2:$D$801,$A24,Games!$A$2:$A$801,3))</f>
        <v/>
      </c>
      <c r="F24" s="9">
        <f>IF($A24="","",COUNTIFS(Games!$D$2:$D$801,$A24,Games!$A$2:$A$801,4))</f>
        <v/>
      </c>
      <c r="G24" s="9">
        <f>IF($A24="","",COUNTIFS(Games!$D$2:$D$801,$A24,Games!$A$2:$A$801,5))</f>
        <v/>
      </c>
      <c r="H24" s="9">
        <f>IF($A24="","",COUNTIFS(Games!$D$2:$D$801,$A24,Games!$A$2:$A$801,6))</f>
        <v/>
      </c>
      <c r="I24" s="9">
        <f>IF($A24="","",SUM(C24:H24))</f>
        <v/>
      </c>
    </row>
    <row r="25">
      <c r="A25" s="9">
        <f>IF(Lists!A25="","",Lists!A25)</f>
        <v/>
      </c>
      <c r="B25" s="9">
        <f>IF(Lists!B25="","",Lists!B25)</f>
        <v/>
      </c>
      <c r="C25" s="9">
        <f>IF($A25="","",COUNTIFS(Games!$D$2:$D$801,$A25,Games!$A$2:$A$801,1))</f>
        <v/>
      </c>
      <c r="D25" s="9">
        <f>IF($A25="","",COUNTIFS(Games!$D$2:$D$801,$A25,Games!$A$2:$A$801,2))</f>
        <v/>
      </c>
      <c r="E25" s="9">
        <f>IF($A25="","",COUNTIFS(Games!$D$2:$D$801,$A25,Games!$A$2:$A$801,3))</f>
        <v/>
      </c>
      <c r="F25" s="9">
        <f>IF($A25="","",COUNTIFS(Games!$D$2:$D$801,$A25,Games!$A$2:$A$801,4))</f>
        <v/>
      </c>
      <c r="G25" s="9">
        <f>IF($A25="","",COUNTIFS(Games!$D$2:$D$801,$A25,Games!$A$2:$A$801,5))</f>
        <v/>
      </c>
      <c r="H25" s="9">
        <f>IF($A25="","",COUNTIFS(Games!$D$2:$D$801,$A25,Games!$A$2:$A$801,6))</f>
        <v/>
      </c>
      <c r="I25" s="9">
        <f>IF($A25="","",SUM(C25:H25))</f>
        <v/>
      </c>
    </row>
    <row r="26">
      <c r="A26" s="9">
        <f>IF(Lists!A26="","",Lists!A26)</f>
        <v/>
      </c>
      <c r="B26" s="9">
        <f>IF(Lists!B26="","",Lists!B26)</f>
        <v/>
      </c>
      <c r="C26" s="9">
        <f>IF($A26="","",COUNTIFS(Games!$D$2:$D$801,$A26,Games!$A$2:$A$801,1))</f>
        <v/>
      </c>
      <c r="D26" s="9">
        <f>IF($A26="","",COUNTIFS(Games!$D$2:$D$801,$A26,Games!$A$2:$A$801,2))</f>
        <v/>
      </c>
      <c r="E26" s="9">
        <f>IF($A26="","",COUNTIFS(Games!$D$2:$D$801,$A26,Games!$A$2:$A$801,3))</f>
        <v/>
      </c>
      <c r="F26" s="9">
        <f>IF($A26="","",COUNTIFS(Games!$D$2:$D$801,$A26,Games!$A$2:$A$801,4))</f>
        <v/>
      </c>
      <c r="G26" s="9">
        <f>IF($A26="","",COUNTIFS(Games!$D$2:$D$801,$A26,Games!$A$2:$A$801,5))</f>
        <v/>
      </c>
      <c r="H26" s="9">
        <f>IF($A26="","",COUNTIFS(Games!$D$2:$D$801,$A26,Games!$A$2:$A$801,6))</f>
        <v/>
      </c>
      <c r="I26" s="9">
        <f>IF($A26="","",SUM(C26:H26))</f>
        <v/>
      </c>
    </row>
    <row r="27">
      <c r="A27" s="9">
        <f>IF(Lists!A27="","",Lists!A27)</f>
        <v/>
      </c>
      <c r="B27" s="9">
        <f>IF(Lists!B27="","",Lists!B27)</f>
        <v/>
      </c>
      <c r="C27" s="9">
        <f>IF($A27="","",COUNTIFS(Games!$D$2:$D$801,$A27,Games!$A$2:$A$801,1))</f>
        <v/>
      </c>
      <c r="D27" s="9">
        <f>IF($A27="","",COUNTIFS(Games!$D$2:$D$801,$A27,Games!$A$2:$A$801,2))</f>
        <v/>
      </c>
      <c r="E27" s="9">
        <f>IF($A27="","",COUNTIFS(Games!$D$2:$D$801,$A27,Games!$A$2:$A$801,3))</f>
        <v/>
      </c>
      <c r="F27" s="9">
        <f>IF($A27="","",COUNTIFS(Games!$D$2:$D$801,$A27,Games!$A$2:$A$801,4))</f>
        <v/>
      </c>
      <c r="G27" s="9">
        <f>IF($A27="","",COUNTIFS(Games!$D$2:$D$801,$A27,Games!$A$2:$A$801,5))</f>
        <v/>
      </c>
      <c r="H27" s="9">
        <f>IF($A27="","",COUNTIFS(Games!$D$2:$D$801,$A27,Games!$A$2:$A$801,6))</f>
        <v/>
      </c>
      <c r="I27" s="9">
        <f>IF($A27="","",SUM(C27:H27))</f>
        <v/>
      </c>
    </row>
    <row r="28">
      <c r="A28" s="9">
        <f>IF(Lists!A28="","",Lists!A28)</f>
        <v/>
      </c>
      <c r="B28" s="9">
        <f>IF(Lists!B28="","",Lists!B28)</f>
        <v/>
      </c>
      <c r="C28" s="9">
        <f>IF($A28="","",COUNTIFS(Games!$D$2:$D$801,$A28,Games!$A$2:$A$801,1))</f>
        <v/>
      </c>
      <c r="D28" s="9">
        <f>IF($A28="","",COUNTIFS(Games!$D$2:$D$801,$A28,Games!$A$2:$A$801,2))</f>
        <v/>
      </c>
      <c r="E28" s="9">
        <f>IF($A28="","",COUNTIFS(Games!$D$2:$D$801,$A28,Games!$A$2:$A$801,3))</f>
        <v/>
      </c>
      <c r="F28" s="9">
        <f>IF($A28="","",COUNTIFS(Games!$D$2:$D$801,$A28,Games!$A$2:$A$801,4))</f>
        <v/>
      </c>
      <c r="G28" s="9">
        <f>IF($A28="","",COUNTIFS(Games!$D$2:$D$801,$A28,Games!$A$2:$A$801,5))</f>
        <v/>
      </c>
      <c r="H28" s="9">
        <f>IF($A28="","",COUNTIFS(Games!$D$2:$D$801,$A28,Games!$A$2:$A$801,6))</f>
        <v/>
      </c>
      <c r="I28" s="9">
        <f>IF($A28="","",SUM(C28:H28))</f>
        <v/>
      </c>
    </row>
    <row r="29">
      <c r="A29" s="9">
        <f>IF(Lists!A29="","",Lists!A29)</f>
        <v/>
      </c>
      <c r="B29" s="9">
        <f>IF(Lists!B29="","",Lists!B29)</f>
        <v/>
      </c>
      <c r="C29" s="9">
        <f>IF($A29="","",COUNTIFS(Games!$D$2:$D$801,$A29,Games!$A$2:$A$801,1))</f>
        <v/>
      </c>
      <c r="D29" s="9">
        <f>IF($A29="","",COUNTIFS(Games!$D$2:$D$801,$A29,Games!$A$2:$A$801,2))</f>
        <v/>
      </c>
      <c r="E29" s="9">
        <f>IF($A29="","",COUNTIFS(Games!$D$2:$D$801,$A29,Games!$A$2:$A$801,3))</f>
        <v/>
      </c>
      <c r="F29" s="9">
        <f>IF($A29="","",COUNTIFS(Games!$D$2:$D$801,$A29,Games!$A$2:$A$801,4))</f>
        <v/>
      </c>
      <c r="G29" s="9">
        <f>IF($A29="","",COUNTIFS(Games!$D$2:$D$801,$A29,Games!$A$2:$A$801,5))</f>
        <v/>
      </c>
      <c r="H29" s="9">
        <f>IF($A29="","",COUNTIFS(Games!$D$2:$D$801,$A29,Games!$A$2:$A$801,6))</f>
        <v/>
      </c>
      <c r="I29" s="9">
        <f>IF($A29="","",SUM(C29:H29))</f>
        <v/>
      </c>
    </row>
    <row r="30">
      <c r="A30" s="9">
        <f>IF(Lists!A30="","",Lists!A30)</f>
        <v/>
      </c>
      <c r="B30" s="9">
        <f>IF(Lists!B30="","",Lists!B30)</f>
        <v/>
      </c>
      <c r="C30" s="9">
        <f>IF($A30="","",COUNTIFS(Games!$D$2:$D$801,$A30,Games!$A$2:$A$801,1))</f>
        <v/>
      </c>
      <c r="D30" s="9">
        <f>IF($A30="","",COUNTIFS(Games!$D$2:$D$801,$A30,Games!$A$2:$A$801,2))</f>
        <v/>
      </c>
      <c r="E30" s="9">
        <f>IF($A30="","",COUNTIFS(Games!$D$2:$D$801,$A30,Games!$A$2:$A$801,3))</f>
        <v/>
      </c>
      <c r="F30" s="9">
        <f>IF($A30="","",COUNTIFS(Games!$D$2:$D$801,$A30,Games!$A$2:$A$801,4))</f>
        <v/>
      </c>
      <c r="G30" s="9">
        <f>IF($A30="","",COUNTIFS(Games!$D$2:$D$801,$A30,Games!$A$2:$A$801,5))</f>
        <v/>
      </c>
      <c r="H30" s="9">
        <f>IF($A30="","",COUNTIFS(Games!$D$2:$D$801,$A30,Games!$A$2:$A$801,6))</f>
        <v/>
      </c>
      <c r="I30" s="9">
        <f>IF($A30="","",SUM(C30:H30))</f>
        <v/>
      </c>
    </row>
    <row r="31">
      <c r="A31" s="9">
        <f>IF(Lists!A31="","",Lists!A31)</f>
        <v/>
      </c>
      <c r="B31" s="9">
        <f>IF(Lists!B31="","",Lists!B31)</f>
        <v/>
      </c>
      <c r="C31" s="9">
        <f>IF($A31="","",COUNTIFS(Games!$D$2:$D$801,$A31,Games!$A$2:$A$801,1))</f>
        <v/>
      </c>
      <c r="D31" s="9">
        <f>IF($A31="","",COUNTIFS(Games!$D$2:$D$801,$A31,Games!$A$2:$A$801,2))</f>
        <v/>
      </c>
      <c r="E31" s="9">
        <f>IF($A31="","",COUNTIFS(Games!$D$2:$D$801,$A31,Games!$A$2:$A$801,3))</f>
        <v/>
      </c>
      <c r="F31" s="9">
        <f>IF($A31="","",COUNTIFS(Games!$D$2:$D$801,$A31,Games!$A$2:$A$801,4))</f>
        <v/>
      </c>
      <c r="G31" s="9">
        <f>IF($A31="","",COUNTIFS(Games!$D$2:$D$801,$A31,Games!$A$2:$A$801,5))</f>
        <v/>
      </c>
      <c r="H31" s="9">
        <f>IF($A31="","",COUNTIFS(Games!$D$2:$D$801,$A31,Games!$A$2:$A$801,6))</f>
        <v/>
      </c>
      <c r="I31" s="9">
        <f>IF($A31="","",SUM(C31:H31))</f>
        <v/>
      </c>
    </row>
    <row r="32">
      <c r="A32" s="9">
        <f>IF(Lists!A32="","",Lists!A32)</f>
        <v/>
      </c>
      <c r="B32" s="9">
        <f>IF(Lists!B32="","",Lists!B32)</f>
        <v/>
      </c>
      <c r="C32" s="9">
        <f>IF($A32="","",COUNTIFS(Games!$D$2:$D$801,$A32,Games!$A$2:$A$801,1))</f>
        <v/>
      </c>
      <c r="D32" s="9">
        <f>IF($A32="","",COUNTIFS(Games!$D$2:$D$801,$A32,Games!$A$2:$A$801,2))</f>
        <v/>
      </c>
      <c r="E32" s="9">
        <f>IF($A32="","",COUNTIFS(Games!$D$2:$D$801,$A32,Games!$A$2:$A$801,3))</f>
        <v/>
      </c>
      <c r="F32" s="9">
        <f>IF($A32="","",COUNTIFS(Games!$D$2:$D$801,$A32,Games!$A$2:$A$801,4))</f>
        <v/>
      </c>
      <c r="G32" s="9">
        <f>IF($A32="","",COUNTIFS(Games!$D$2:$D$801,$A32,Games!$A$2:$A$801,5))</f>
        <v/>
      </c>
      <c r="H32" s="9">
        <f>IF($A32="","",COUNTIFS(Games!$D$2:$D$801,$A32,Games!$A$2:$A$801,6))</f>
        <v/>
      </c>
      <c r="I32" s="9">
        <f>IF($A32="","",SUM(C32:H32))</f>
        <v/>
      </c>
    </row>
    <row r="33">
      <c r="A33" s="9">
        <f>IF(Lists!A33="","",Lists!A33)</f>
        <v/>
      </c>
      <c r="B33" s="9">
        <f>IF(Lists!B33="","",Lists!B33)</f>
        <v/>
      </c>
      <c r="C33" s="9">
        <f>IF($A33="","",COUNTIFS(Games!$D$2:$D$801,$A33,Games!$A$2:$A$801,1))</f>
        <v/>
      </c>
      <c r="D33" s="9">
        <f>IF($A33="","",COUNTIFS(Games!$D$2:$D$801,$A33,Games!$A$2:$A$801,2))</f>
        <v/>
      </c>
      <c r="E33" s="9">
        <f>IF($A33="","",COUNTIFS(Games!$D$2:$D$801,$A33,Games!$A$2:$A$801,3))</f>
        <v/>
      </c>
      <c r="F33" s="9">
        <f>IF($A33="","",COUNTIFS(Games!$D$2:$D$801,$A33,Games!$A$2:$A$801,4))</f>
        <v/>
      </c>
      <c r="G33" s="9">
        <f>IF($A33="","",COUNTIFS(Games!$D$2:$D$801,$A33,Games!$A$2:$A$801,5))</f>
        <v/>
      </c>
      <c r="H33" s="9">
        <f>IF($A33="","",COUNTIFS(Games!$D$2:$D$801,$A33,Games!$A$2:$A$801,6))</f>
        <v/>
      </c>
      <c r="I33" s="9">
        <f>IF($A33="","",SUM(C33:H33))</f>
        <v/>
      </c>
    </row>
    <row r="34">
      <c r="A34" s="9">
        <f>IF(Lists!A34="","",Lists!A34)</f>
        <v/>
      </c>
      <c r="B34" s="9">
        <f>IF(Lists!B34="","",Lists!B34)</f>
        <v/>
      </c>
      <c r="C34" s="9">
        <f>IF($A34="","",COUNTIFS(Games!$D$2:$D$801,$A34,Games!$A$2:$A$801,1))</f>
        <v/>
      </c>
      <c r="D34" s="9">
        <f>IF($A34="","",COUNTIFS(Games!$D$2:$D$801,$A34,Games!$A$2:$A$801,2))</f>
        <v/>
      </c>
      <c r="E34" s="9">
        <f>IF($A34="","",COUNTIFS(Games!$D$2:$D$801,$A34,Games!$A$2:$A$801,3))</f>
        <v/>
      </c>
      <c r="F34" s="9">
        <f>IF($A34="","",COUNTIFS(Games!$D$2:$D$801,$A34,Games!$A$2:$A$801,4))</f>
        <v/>
      </c>
      <c r="G34" s="9">
        <f>IF($A34="","",COUNTIFS(Games!$D$2:$D$801,$A34,Games!$A$2:$A$801,5))</f>
        <v/>
      </c>
      <c r="H34" s="9">
        <f>IF($A34="","",COUNTIFS(Games!$D$2:$D$801,$A34,Games!$A$2:$A$801,6))</f>
        <v/>
      </c>
      <c r="I34" s="9">
        <f>IF($A34="","",SUM(C34:H34))</f>
        <v/>
      </c>
    </row>
    <row r="35">
      <c r="A35" s="9">
        <f>IF(Lists!A35="","",Lists!A35)</f>
        <v/>
      </c>
      <c r="B35" s="9">
        <f>IF(Lists!B35="","",Lists!B35)</f>
        <v/>
      </c>
      <c r="C35" s="9">
        <f>IF($A35="","",COUNTIFS(Games!$D$2:$D$801,$A35,Games!$A$2:$A$801,1))</f>
        <v/>
      </c>
      <c r="D35" s="9">
        <f>IF($A35="","",COUNTIFS(Games!$D$2:$D$801,$A35,Games!$A$2:$A$801,2))</f>
        <v/>
      </c>
      <c r="E35" s="9">
        <f>IF($A35="","",COUNTIFS(Games!$D$2:$D$801,$A35,Games!$A$2:$A$801,3))</f>
        <v/>
      </c>
      <c r="F35" s="9">
        <f>IF($A35="","",COUNTIFS(Games!$D$2:$D$801,$A35,Games!$A$2:$A$801,4))</f>
        <v/>
      </c>
      <c r="G35" s="9">
        <f>IF($A35="","",COUNTIFS(Games!$D$2:$D$801,$A35,Games!$A$2:$A$801,5))</f>
        <v/>
      </c>
      <c r="H35" s="9">
        <f>IF($A35="","",COUNTIFS(Games!$D$2:$D$801,$A35,Games!$A$2:$A$801,6))</f>
        <v/>
      </c>
      <c r="I35" s="9">
        <f>IF($A35="","",SUM(C35:H35))</f>
        <v/>
      </c>
    </row>
    <row r="36">
      <c r="A36" s="9">
        <f>IF(Lists!A36="","",Lists!A36)</f>
        <v/>
      </c>
      <c r="B36" s="9">
        <f>IF(Lists!B36="","",Lists!B36)</f>
        <v/>
      </c>
      <c r="C36" s="9">
        <f>IF($A36="","",COUNTIFS(Games!$D$2:$D$801,$A36,Games!$A$2:$A$801,1))</f>
        <v/>
      </c>
      <c r="D36" s="9">
        <f>IF($A36="","",COUNTIFS(Games!$D$2:$D$801,$A36,Games!$A$2:$A$801,2))</f>
        <v/>
      </c>
      <c r="E36" s="9">
        <f>IF($A36="","",COUNTIFS(Games!$D$2:$D$801,$A36,Games!$A$2:$A$801,3))</f>
        <v/>
      </c>
      <c r="F36" s="9">
        <f>IF($A36="","",COUNTIFS(Games!$D$2:$D$801,$A36,Games!$A$2:$A$801,4))</f>
        <v/>
      </c>
      <c r="G36" s="9">
        <f>IF($A36="","",COUNTIFS(Games!$D$2:$D$801,$A36,Games!$A$2:$A$801,5))</f>
        <v/>
      </c>
      <c r="H36" s="9">
        <f>IF($A36="","",COUNTIFS(Games!$D$2:$D$801,$A36,Games!$A$2:$A$801,6))</f>
        <v/>
      </c>
      <c r="I36" s="9">
        <f>IF($A36="","",SUM(C36:H36))</f>
        <v/>
      </c>
    </row>
    <row r="37">
      <c r="A37" s="9">
        <f>IF(Lists!A37="","",Lists!A37)</f>
        <v/>
      </c>
      <c r="B37" s="9">
        <f>IF(Lists!B37="","",Lists!B37)</f>
        <v/>
      </c>
      <c r="C37" s="9">
        <f>IF($A37="","",COUNTIFS(Games!$D$2:$D$801,$A37,Games!$A$2:$A$801,1))</f>
        <v/>
      </c>
      <c r="D37" s="9">
        <f>IF($A37="","",COUNTIFS(Games!$D$2:$D$801,$A37,Games!$A$2:$A$801,2))</f>
        <v/>
      </c>
      <c r="E37" s="9">
        <f>IF($A37="","",COUNTIFS(Games!$D$2:$D$801,$A37,Games!$A$2:$A$801,3))</f>
        <v/>
      </c>
      <c r="F37" s="9">
        <f>IF($A37="","",COUNTIFS(Games!$D$2:$D$801,$A37,Games!$A$2:$A$801,4))</f>
        <v/>
      </c>
      <c r="G37" s="9">
        <f>IF($A37="","",COUNTIFS(Games!$D$2:$D$801,$A37,Games!$A$2:$A$801,5))</f>
        <v/>
      </c>
      <c r="H37" s="9">
        <f>IF($A37="","",COUNTIFS(Games!$D$2:$D$801,$A37,Games!$A$2:$A$801,6))</f>
        <v/>
      </c>
      <c r="I37" s="9">
        <f>IF($A37="","",SUM(C37:H37))</f>
        <v/>
      </c>
    </row>
    <row r="38">
      <c r="A38" s="9">
        <f>IF(Lists!A38="","",Lists!A38)</f>
        <v/>
      </c>
      <c r="B38" s="9">
        <f>IF(Lists!B38="","",Lists!B38)</f>
        <v/>
      </c>
      <c r="C38" s="9">
        <f>IF($A38="","",COUNTIFS(Games!$D$2:$D$801,$A38,Games!$A$2:$A$801,1))</f>
        <v/>
      </c>
      <c r="D38" s="9">
        <f>IF($A38="","",COUNTIFS(Games!$D$2:$D$801,$A38,Games!$A$2:$A$801,2))</f>
        <v/>
      </c>
      <c r="E38" s="9">
        <f>IF($A38="","",COUNTIFS(Games!$D$2:$D$801,$A38,Games!$A$2:$A$801,3))</f>
        <v/>
      </c>
      <c r="F38" s="9">
        <f>IF($A38="","",COUNTIFS(Games!$D$2:$D$801,$A38,Games!$A$2:$A$801,4))</f>
        <v/>
      </c>
      <c r="G38" s="9">
        <f>IF($A38="","",COUNTIFS(Games!$D$2:$D$801,$A38,Games!$A$2:$A$801,5))</f>
        <v/>
      </c>
      <c r="H38" s="9">
        <f>IF($A38="","",COUNTIFS(Games!$D$2:$D$801,$A38,Games!$A$2:$A$801,6))</f>
        <v/>
      </c>
      <c r="I38" s="9">
        <f>IF($A38="","",SUM(C38:H38))</f>
        <v/>
      </c>
    </row>
    <row r="39">
      <c r="A39" s="9">
        <f>IF(Lists!A39="","",Lists!A39)</f>
        <v/>
      </c>
      <c r="B39" s="9">
        <f>IF(Lists!B39="","",Lists!B39)</f>
        <v/>
      </c>
      <c r="C39" s="9">
        <f>IF($A39="","",COUNTIFS(Games!$D$2:$D$801,$A39,Games!$A$2:$A$801,1))</f>
        <v/>
      </c>
      <c r="D39" s="9">
        <f>IF($A39="","",COUNTIFS(Games!$D$2:$D$801,$A39,Games!$A$2:$A$801,2))</f>
        <v/>
      </c>
      <c r="E39" s="9">
        <f>IF($A39="","",COUNTIFS(Games!$D$2:$D$801,$A39,Games!$A$2:$A$801,3))</f>
        <v/>
      </c>
      <c r="F39" s="9">
        <f>IF($A39="","",COUNTIFS(Games!$D$2:$D$801,$A39,Games!$A$2:$A$801,4))</f>
        <v/>
      </c>
      <c r="G39" s="9">
        <f>IF($A39="","",COUNTIFS(Games!$D$2:$D$801,$A39,Games!$A$2:$A$801,5))</f>
        <v/>
      </c>
      <c r="H39" s="9">
        <f>IF($A39="","",COUNTIFS(Games!$D$2:$D$801,$A39,Games!$A$2:$A$801,6))</f>
        <v/>
      </c>
      <c r="I39" s="9">
        <f>IF($A39="","",SUM(C39:H39))</f>
        <v/>
      </c>
    </row>
    <row r="40">
      <c r="A40" s="9">
        <f>IF(Lists!A40="","",Lists!A40)</f>
        <v/>
      </c>
      <c r="B40" s="9">
        <f>IF(Lists!B40="","",Lists!B40)</f>
        <v/>
      </c>
      <c r="C40" s="9">
        <f>IF($A40="","",COUNTIFS(Games!$D$2:$D$801,$A40,Games!$A$2:$A$801,1))</f>
        <v/>
      </c>
      <c r="D40" s="9">
        <f>IF($A40="","",COUNTIFS(Games!$D$2:$D$801,$A40,Games!$A$2:$A$801,2))</f>
        <v/>
      </c>
      <c r="E40" s="9">
        <f>IF($A40="","",COUNTIFS(Games!$D$2:$D$801,$A40,Games!$A$2:$A$801,3))</f>
        <v/>
      </c>
      <c r="F40" s="9">
        <f>IF($A40="","",COUNTIFS(Games!$D$2:$D$801,$A40,Games!$A$2:$A$801,4))</f>
        <v/>
      </c>
      <c r="G40" s="9">
        <f>IF($A40="","",COUNTIFS(Games!$D$2:$D$801,$A40,Games!$A$2:$A$801,5))</f>
        <v/>
      </c>
      <c r="H40" s="9">
        <f>IF($A40="","",COUNTIFS(Games!$D$2:$D$801,$A40,Games!$A$2:$A$801,6))</f>
        <v/>
      </c>
      <c r="I40" s="9">
        <f>IF($A40="","",SUM(C40:H40))</f>
        <v/>
      </c>
    </row>
    <row r="41">
      <c r="A41" s="9">
        <f>IF(Lists!A41="","",Lists!A41)</f>
        <v/>
      </c>
      <c r="B41" s="9">
        <f>IF(Lists!B41="","",Lists!B41)</f>
        <v/>
      </c>
      <c r="C41" s="9">
        <f>IF($A41="","",COUNTIFS(Games!$D$2:$D$801,$A41,Games!$A$2:$A$801,1))</f>
        <v/>
      </c>
      <c r="D41" s="9">
        <f>IF($A41="","",COUNTIFS(Games!$D$2:$D$801,$A41,Games!$A$2:$A$801,2))</f>
        <v/>
      </c>
      <c r="E41" s="9">
        <f>IF($A41="","",COUNTIFS(Games!$D$2:$D$801,$A41,Games!$A$2:$A$801,3))</f>
        <v/>
      </c>
      <c r="F41" s="9">
        <f>IF($A41="","",COUNTIFS(Games!$D$2:$D$801,$A41,Games!$A$2:$A$801,4))</f>
        <v/>
      </c>
      <c r="G41" s="9">
        <f>IF($A41="","",COUNTIFS(Games!$D$2:$D$801,$A41,Games!$A$2:$A$801,5))</f>
        <v/>
      </c>
      <c r="H41" s="9">
        <f>IF($A41="","",COUNTIFS(Games!$D$2:$D$801,$A41,Games!$A$2:$A$801,6))</f>
        <v/>
      </c>
      <c r="I41" s="9">
        <f>IF($A41="","",SUM(C41:H41))</f>
        <v/>
      </c>
    </row>
    <row r="43">
      <c r="B43" s="12" t="inlineStr">
        <is>
          <t>Forfeits (no chapter)</t>
        </is>
      </c>
      <c r="C43" s="12">
        <f>COUNTIFS(Games!$A$2:$A$801,1,Games!$I$2:$I$801,"Y")</f>
        <v/>
      </c>
      <c r="D43" s="12">
        <f>COUNTIFS(Games!$A$2:$A$801,2,Games!$I$2:$I$801,"Y")</f>
        <v/>
      </c>
      <c r="E43" s="12">
        <f>COUNTIFS(Games!$A$2:$A$801,3,Games!$I$2:$I$801,"Y")</f>
        <v/>
      </c>
      <c r="F43" s="12">
        <f>COUNTIFS(Games!$A$2:$A$801,4,Games!$I$2:$I$801,"Y")</f>
        <v/>
      </c>
      <c r="G43" s="12">
        <f>COUNTIFS(Games!$A$2:$A$801,5,Games!$I$2:$I$801,"Y")</f>
        <v/>
      </c>
      <c r="H43" s="12">
        <f>COUNTIFS(Games!$A$2:$A$801,6,Games!$I$2:$I$801,"Y")</f>
        <v/>
      </c>
      <c r="I43" s="12">
        <f>SUM(C43:H43)</f>
        <v/>
      </c>
    </row>
    <row r="44">
      <c r="B44" s="12" t="inlineStr">
        <is>
          <t>Total entered</t>
        </is>
      </c>
      <c r="C44" s="12">
        <f>COUNTIFS(Games!$A$2:$A$801,1)</f>
        <v/>
      </c>
      <c r="D44" s="12">
        <f>COUNTIFS(Games!$A$2:$A$801,2)</f>
        <v/>
      </c>
      <c r="E44" s="12">
        <f>COUNTIFS(Games!$A$2:$A$801,3)</f>
        <v/>
      </c>
      <c r="F44" s="12">
        <f>COUNTIFS(Games!$A$2:$A$801,4)</f>
        <v/>
      </c>
      <c r="G44" s="12">
        <f>COUNTIFS(Games!$A$2:$A$801,5)</f>
        <v/>
      </c>
      <c r="H44" s="12">
        <f>COUNTIFS(Games!$A$2:$A$801,6)</f>
        <v/>
      </c>
      <c r="I44" s="12">
        <f>SUM(C44:H44)</f>
        <v/>
      </c>
    </row>
    <row r="45">
      <c r="B45" s="12" t="inlineStr">
        <is>
          <t>Expected</t>
        </is>
      </c>
      <c r="C45" s="12">
        <f>Lists!H2</f>
        <v/>
      </c>
      <c r="D45" s="12">
        <f>Lists!H3</f>
        <v/>
      </c>
      <c r="E45" s="12">
        <f>Lists!H4</f>
        <v/>
      </c>
      <c r="F45" s="12">
        <f>Lists!H5</f>
        <v/>
      </c>
      <c r="G45" s="12">
        <f>Lists!H6</f>
        <v/>
      </c>
      <c r="H45" s="12">
        <f>Lists!H7</f>
        <v/>
      </c>
      <c r="I45" s="12">
        <f>SUM(C45:H45)</f>
        <v/>
      </c>
    </row>
    <row r="46">
      <c r="B46" s="12" t="inlineStr">
        <is>
          <t>Difference</t>
        </is>
      </c>
      <c r="C46" s="12">
        <f>C44-C45</f>
        <v/>
      </c>
      <c r="D46" s="12">
        <f>D44-D45</f>
        <v/>
      </c>
      <c r="E46" s="12">
        <f>E44-E45</f>
        <v/>
      </c>
      <c r="F46" s="12">
        <f>F44-F45</f>
        <v/>
      </c>
      <c r="G46" s="12">
        <f>G44-G45</f>
        <v/>
      </c>
      <c r="H46" s="12">
        <f>H44-H45</f>
        <v/>
      </c>
      <c r="I46" s="12">
        <f>SUM(C46:H46)</f>
        <v/>
      </c>
    </row>
    <row r="47">
      <c r="B47" s="13" t="inlineStr">
        <is>
          <t>Difference should be 0 every week. Positive = extra/duplicate rows; negative = games still missing.</t>
        </is>
      </c>
    </row>
  </sheetData>
  <conditionalFormatting sqref="C46:I46">
    <cfRule type="expression" priority="1" dxfId="0">
      <formula>C46&lt;&gt;0</formula>
    </cfRule>
    <cfRule type="expression" priority="2" dxfId="1">
      <formula>C46=0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2" customWidth="1" min="9" max="9"/>
  </cols>
  <sheetData>
    <row r="1">
      <c r="A1" s="10" t="inlineStr">
        <is>
          <t>Classification</t>
        </is>
      </c>
      <c r="B1" s="10" t="inlineStr">
        <is>
          <t>Wk 1</t>
        </is>
      </c>
      <c r="C1" s="10" t="inlineStr">
        <is>
          <t>Wk 2</t>
        </is>
      </c>
      <c r="D1" s="10" t="inlineStr">
        <is>
          <t>Wk 3</t>
        </is>
      </c>
      <c r="E1" s="10" t="inlineStr">
        <is>
          <t>Wk 4</t>
        </is>
      </c>
      <c r="F1" s="10" t="inlineStr">
        <is>
          <t>Wk 5</t>
        </is>
      </c>
      <c r="G1" s="10" t="inlineStr">
        <is>
          <t>Wk 6</t>
        </is>
      </c>
      <c r="H1" s="10" t="inlineStr">
        <is>
          <t>Total</t>
        </is>
      </c>
      <c r="I1" s="10" t="inlineStr">
        <is>
          <t>Unassigned</t>
        </is>
      </c>
    </row>
    <row r="2">
      <c r="A2" s="9">
        <f>Lists!D2</f>
        <v/>
      </c>
      <c r="B2" s="9">
        <f>COUNTIFS(Games!$C$2:$C$801,$A2,Games!$A$2:$A$801,1)</f>
        <v/>
      </c>
      <c r="C2" s="9">
        <f>COUNTIFS(Games!$C$2:$C$801,$A2,Games!$A$2:$A$801,2)</f>
        <v/>
      </c>
      <c r="D2" s="9">
        <f>COUNTIFS(Games!$C$2:$C$801,$A2,Games!$A$2:$A$801,3)</f>
        <v/>
      </c>
      <c r="E2" s="9">
        <f>COUNTIFS(Games!$C$2:$C$801,$A2,Games!$A$2:$A$801,4)</f>
        <v/>
      </c>
      <c r="F2" s="9">
        <f>COUNTIFS(Games!$C$2:$C$801,$A2,Games!$A$2:$A$801,5)</f>
        <v/>
      </c>
      <c r="G2" s="9">
        <f>COUNTIFS(Games!$C$2:$C$801,$A2,Games!$A$2:$A$801,6)</f>
        <v/>
      </c>
      <c r="H2" s="9">
        <f>SUM(B2:G2)</f>
        <v/>
      </c>
      <c r="I2" s="9">
        <f>COUNTIFS(Games!$C$2:$C$801,$A2,Games!$D$2:$D$801,"")-COUNTIFS(Games!$C$2:$C$801,$A2,Games!$D$2:$D$801,"",Games!$A$2:$A$801,"")</f>
        <v/>
      </c>
    </row>
    <row r="3">
      <c r="A3" s="9">
        <f>Lists!D3</f>
        <v/>
      </c>
      <c r="B3" s="9">
        <f>COUNTIFS(Games!$C$2:$C$801,$A3,Games!$A$2:$A$801,1)</f>
        <v/>
      </c>
      <c r="C3" s="9">
        <f>COUNTIFS(Games!$C$2:$C$801,$A3,Games!$A$2:$A$801,2)</f>
        <v/>
      </c>
      <c r="D3" s="9">
        <f>COUNTIFS(Games!$C$2:$C$801,$A3,Games!$A$2:$A$801,3)</f>
        <v/>
      </c>
      <c r="E3" s="9">
        <f>COUNTIFS(Games!$C$2:$C$801,$A3,Games!$A$2:$A$801,4)</f>
        <v/>
      </c>
      <c r="F3" s="9">
        <f>COUNTIFS(Games!$C$2:$C$801,$A3,Games!$A$2:$A$801,5)</f>
        <v/>
      </c>
      <c r="G3" s="9">
        <f>COUNTIFS(Games!$C$2:$C$801,$A3,Games!$A$2:$A$801,6)</f>
        <v/>
      </c>
      <c r="H3" s="9">
        <f>SUM(B3:G3)</f>
        <v/>
      </c>
      <c r="I3" s="9">
        <f>COUNTIFS(Games!$C$2:$C$801,$A3,Games!$D$2:$D$801,"")-COUNTIFS(Games!$C$2:$C$801,$A3,Games!$D$2:$D$801,"",Games!$A$2:$A$801,"")</f>
        <v/>
      </c>
    </row>
    <row r="4">
      <c r="A4" s="9">
        <f>Lists!D4</f>
        <v/>
      </c>
      <c r="B4" s="9">
        <f>COUNTIFS(Games!$C$2:$C$801,$A4,Games!$A$2:$A$801,1)</f>
        <v/>
      </c>
      <c r="C4" s="9">
        <f>COUNTIFS(Games!$C$2:$C$801,$A4,Games!$A$2:$A$801,2)</f>
        <v/>
      </c>
      <c r="D4" s="9">
        <f>COUNTIFS(Games!$C$2:$C$801,$A4,Games!$A$2:$A$801,3)</f>
        <v/>
      </c>
      <c r="E4" s="9">
        <f>COUNTIFS(Games!$C$2:$C$801,$A4,Games!$A$2:$A$801,4)</f>
        <v/>
      </c>
      <c r="F4" s="9">
        <f>COUNTIFS(Games!$C$2:$C$801,$A4,Games!$A$2:$A$801,5)</f>
        <v/>
      </c>
      <c r="G4" s="9">
        <f>COUNTIFS(Games!$C$2:$C$801,$A4,Games!$A$2:$A$801,6)</f>
        <v/>
      </c>
      <c r="H4" s="9">
        <f>SUM(B4:G4)</f>
        <v/>
      </c>
      <c r="I4" s="9">
        <f>COUNTIFS(Games!$C$2:$C$801,$A4,Games!$D$2:$D$801,"")-COUNTIFS(Games!$C$2:$C$801,$A4,Games!$D$2:$D$801,"",Games!$A$2:$A$801,"")</f>
        <v/>
      </c>
    </row>
    <row r="5">
      <c r="A5" s="9">
        <f>Lists!D5</f>
        <v/>
      </c>
      <c r="B5" s="9">
        <f>COUNTIFS(Games!$C$2:$C$801,$A5,Games!$A$2:$A$801,1)</f>
        <v/>
      </c>
      <c r="C5" s="9">
        <f>COUNTIFS(Games!$C$2:$C$801,$A5,Games!$A$2:$A$801,2)</f>
        <v/>
      </c>
      <c r="D5" s="9">
        <f>COUNTIFS(Games!$C$2:$C$801,$A5,Games!$A$2:$A$801,3)</f>
        <v/>
      </c>
      <c r="E5" s="9">
        <f>COUNTIFS(Games!$C$2:$C$801,$A5,Games!$A$2:$A$801,4)</f>
        <v/>
      </c>
      <c r="F5" s="9">
        <f>COUNTIFS(Games!$C$2:$C$801,$A5,Games!$A$2:$A$801,5)</f>
        <v/>
      </c>
      <c r="G5" s="9">
        <f>COUNTIFS(Games!$C$2:$C$801,$A5,Games!$A$2:$A$801,6)</f>
        <v/>
      </c>
      <c r="H5" s="9">
        <f>SUM(B5:G5)</f>
        <v/>
      </c>
      <c r="I5" s="9">
        <f>COUNTIFS(Games!$C$2:$C$801,$A5,Games!$D$2:$D$801,"")-COUNTIFS(Games!$C$2:$C$801,$A5,Games!$D$2:$D$801,"",Games!$A$2:$A$801,"")</f>
        <v/>
      </c>
    </row>
    <row r="6">
      <c r="A6" s="9">
        <f>Lists!D6</f>
        <v/>
      </c>
      <c r="B6" s="9">
        <f>COUNTIFS(Games!$C$2:$C$801,$A6,Games!$A$2:$A$801,1)</f>
        <v/>
      </c>
      <c r="C6" s="9">
        <f>COUNTIFS(Games!$C$2:$C$801,$A6,Games!$A$2:$A$801,2)</f>
        <v/>
      </c>
      <c r="D6" s="9">
        <f>COUNTIFS(Games!$C$2:$C$801,$A6,Games!$A$2:$A$801,3)</f>
        <v/>
      </c>
      <c r="E6" s="9">
        <f>COUNTIFS(Games!$C$2:$C$801,$A6,Games!$A$2:$A$801,4)</f>
        <v/>
      </c>
      <c r="F6" s="9">
        <f>COUNTIFS(Games!$C$2:$C$801,$A6,Games!$A$2:$A$801,5)</f>
        <v/>
      </c>
      <c r="G6" s="9">
        <f>COUNTIFS(Games!$C$2:$C$801,$A6,Games!$A$2:$A$801,6)</f>
        <v/>
      </c>
      <c r="H6" s="9">
        <f>SUM(B6:G6)</f>
        <v/>
      </c>
      <c r="I6" s="9">
        <f>COUNTIFS(Games!$C$2:$C$801,$A6,Games!$D$2:$D$801,"")-COUNTIFS(Games!$C$2:$C$801,$A6,Games!$D$2:$D$801,"",Games!$A$2:$A$801,"")</f>
        <v/>
      </c>
    </row>
    <row r="7">
      <c r="A7" s="9">
        <f>Lists!D7</f>
        <v/>
      </c>
      <c r="B7" s="9">
        <f>COUNTIFS(Games!$C$2:$C$801,$A7,Games!$A$2:$A$801,1)</f>
        <v/>
      </c>
      <c r="C7" s="9">
        <f>COUNTIFS(Games!$C$2:$C$801,$A7,Games!$A$2:$A$801,2)</f>
        <v/>
      </c>
      <c r="D7" s="9">
        <f>COUNTIFS(Games!$C$2:$C$801,$A7,Games!$A$2:$A$801,3)</f>
        <v/>
      </c>
      <c r="E7" s="9">
        <f>COUNTIFS(Games!$C$2:$C$801,$A7,Games!$A$2:$A$801,4)</f>
        <v/>
      </c>
      <c r="F7" s="9">
        <f>COUNTIFS(Games!$C$2:$C$801,$A7,Games!$A$2:$A$801,5)</f>
        <v/>
      </c>
      <c r="G7" s="9">
        <f>COUNTIFS(Games!$C$2:$C$801,$A7,Games!$A$2:$A$801,6)</f>
        <v/>
      </c>
      <c r="H7" s="9">
        <f>SUM(B7:G7)</f>
        <v/>
      </c>
      <c r="I7" s="9">
        <f>COUNTIFS(Games!$C$2:$C$801,$A7,Games!$D$2:$D$801,"")-COUNTIFS(Games!$C$2:$C$801,$A7,Games!$D$2:$D$801,"",Games!$A$2:$A$801,"")</f>
        <v/>
      </c>
    </row>
    <row r="8">
      <c r="A8" s="9">
        <f>Lists!D8</f>
        <v/>
      </c>
      <c r="B8" s="9">
        <f>COUNTIFS(Games!$C$2:$C$801,$A8,Games!$A$2:$A$801,1)</f>
        <v/>
      </c>
      <c r="C8" s="9">
        <f>COUNTIFS(Games!$C$2:$C$801,$A8,Games!$A$2:$A$801,2)</f>
        <v/>
      </c>
      <c r="D8" s="9">
        <f>COUNTIFS(Games!$C$2:$C$801,$A8,Games!$A$2:$A$801,3)</f>
        <v/>
      </c>
      <c r="E8" s="9">
        <f>COUNTIFS(Games!$C$2:$C$801,$A8,Games!$A$2:$A$801,4)</f>
        <v/>
      </c>
      <c r="F8" s="9">
        <f>COUNTIFS(Games!$C$2:$C$801,$A8,Games!$A$2:$A$801,5)</f>
        <v/>
      </c>
      <c r="G8" s="9">
        <f>COUNTIFS(Games!$C$2:$C$801,$A8,Games!$A$2:$A$801,6)</f>
        <v/>
      </c>
      <c r="H8" s="9">
        <f>SUM(B8:G8)</f>
        <v/>
      </c>
      <c r="I8" s="9">
        <f>COUNTIFS(Games!$C$2:$C$801,$A8,Games!$D$2:$D$801,"")-COUNTIFS(Games!$C$2:$C$801,$A8,Games!$D$2:$D$801,"",Games!$A$2:$A$801,"")</f>
        <v/>
      </c>
    </row>
    <row r="9">
      <c r="A9" s="9">
        <f>Lists!D9</f>
        <v/>
      </c>
      <c r="B9" s="9">
        <f>COUNTIFS(Games!$C$2:$C$801,$A9,Games!$A$2:$A$801,1)</f>
        <v/>
      </c>
      <c r="C9" s="9">
        <f>COUNTIFS(Games!$C$2:$C$801,$A9,Games!$A$2:$A$801,2)</f>
        <v/>
      </c>
      <c r="D9" s="9">
        <f>COUNTIFS(Games!$C$2:$C$801,$A9,Games!$A$2:$A$801,3)</f>
        <v/>
      </c>
      <c r="E9" s="9">
        <f>COUNTIFS(Games!$C$2:$C$801,$A9,Games!$A$2:$A$801,4)</f>
        <v/>
      </c>
      <c r="F9" s="9">
        <f>COUNTIFS(Games!$C$2:$C$801,$A9,Games!$A$2:$A$801,5)</f>
        <v/>
      </c>
      <c r="G9" s="9">
        <f>COUNTIFS(Games!$C$2:$C$801,$A9,Games!$A$2:$A$801,6)</f>
        <v/>
      </c>
      <c r="H9" s="9">
        <f>SUM(B9:G9)</f>
        <v/>
      </c>
      <c r="I9" s="9">
        <f>COUNTIFS(Games!$C$2:$C$801,$A9,Games!$D$2:$D$801,"")-COUNTIFS(Games!$C$2:$C$801,$A9,Games!$D$2:$D$801,"",Games!$A$2:$A$801,"")</f>
        <v/>
      </c>
    </row>
    <row r="10">
      <c r="A10" s="9">
        <f>Lists!D10</f>
        <v/>
      </c>
      <c r="B10" s="9">
        <f>COUNTIFS(Games!$C$2:$C$801,$A10,Games!$A$2:$A$801,1)</f>
        <v/>
      </c>
      <c r="C10" s="9">
        <f>COUNTIFS(Games!$C$2:$C$801,$A10,Games!$A$2:$A$801,2)</f>
        <v/>
      </c>
      <c r="D10" s="9">
        <f>COUNTIFS(Games!$C$2:$C$801,$A10,Games!$A$2:$A$801,3)</f>
        <v/>
      </c>
      <c r="E10" s="9">
        <f>COUNTIFS(Games!$C$2:$C$801,$A10,Games!$A$2:$A$801,4)</f>
        <v/>
      </c>
      <c r="F10" s="9">
        <f>COUNTIFS(Games!$C$2:$C$801,$A10,Games!$A$2:$A$801,5)</f>
        <v/>
      </c>
      <c r="G10" s="9">
        <f>COUNTIFS(Games!$C$2:$C$801,$A10,Games!$A$2:$A$801,6)</f>
        <v/>
      </c>
      <c r="H10" s="9">
        <f>SUM(B10:G10)</f>
        <v/>
      </c>
      <c r="I10" s="9">
        <f>COUNTIFS(Games!$C$2:$C$801,$A10,Games!$D$2:$D$801,"")-COUNTIFS(Games!$C$2:$C$801,$A10,Games!$D$2:$D$801,"",Games!$A$2:$A$801,"")</f>
        <v/>
      </c>
    </row>
    <row r="11">
      <c r="A11" s="9">
        <f>Lists!D11</f>
        <v/>
      </c>
      <c r="B11" s="9">
        <f>COUNTIFS(Games!$C$2:$C$801,$A11,Games!$A$2:$A$801,1)</f>
        <v/>
      </c>
      <c r="C11" s="9">
        <f>COUNTIFS(Games!$C$2:$C$801,$A11,Games!$A$2:$A$801,2)</f>
        <v/>
      </c>
      <c r="D11" s="9">
        <f>COUNTIFS(Games!$C$2:$C$801,$A11,Games!$A$2:$A$801,3)</f>
        <v/>
      </c>
      <c r="E11" s="9">
        <f>COUNTIFS(Games!$C$2:$C$801,$A11,Games!$A$2:$A$801,4)</f>
        <v/>
      </c>
      <c r="F11" s="9">
        <f>COUNTIFS(Games!$C$2:$C$801,$A11,Games!$A$2:$A$801,5)</f>
        <v/>
      </c>
      <c r="G11" s="9">
        <f>COUNTIFS(Games!$C$2:$C$801,$A11,Games!$A$2:$A$801,6)</f>
        <v/>
      </c>
      <c r="H11" s="9">
        <f>SUM(B11:G11)</f>
        <v/>
      </c>
      <c r="I11" s="9">
        <f>COUNTIFS(Games!$C$2:$C$801,$A11,Games!$D$2:$D$801,"")-COUNTIFS(Games!$C$2:$C$801,$A11,Games!$D$2:$D$801,"",Games!$A$2:$A$801,"")</f>
        <v/>
      </c>
    </row>
    <row r="12">
      <c r="A12" s="9">
        <f>Lists!D12</f>
        <v/>
      </c>
      <c r="B12" s="9">
        <f>COUNTIFS(Games!$C$2:$C$801,$A12,Games!$A$2:$A$801,1)</f>
        <v/>
      </c>
      <c r="C12" s="9">
        <f>COUNTIFS(Games!$C$2:$C$801,$A12,Games!$A$2:$A$801,2)</f>
        <v/>
      </c>
      <c r="D12" s="9">
        <f>COUNTIFS(Games!$C$2:$C$801,$A12,Games!$A$2:$A$801,3)</f>
        <v/>
      </c>
      <c r="E12" s="9">
        <f>COUNTIFS(Games!$C$2:$C$801,$A12,Games!$A$2:$A$801,4)</f>
        <v/>
      </c>
      <c r="F12" s="9">
        <f>COUNTIFS(Games!$C$2:$C$801,$A12,Games!$A$2:$A$801,5)</f>
        <v/>
      </c>
      <c r="G12" s="9">
        <f>COUNTIFS(Games!$C$2:$C$801,$A12,Games!$A$2:$A$801,6)</f>
        <v/>
      </c>
      <c r="H12" s="9">
        <f>SUM(B12:G12)</f>
        <v/>
      </c>
      <c r="I12" s="9">
        <f>COUNTIFS(Games!$C$2:$C$801,$A12,Games!$D$2:$D$801,"")-COUNTIFS(Games!$C$2:$C$801,$A12,Games!$D$2:$D$801,"",Games!$A$2:$A$801,"")</f>
        <v/>
      </c>
    </row>
    <row r="13">
      <c r="A13" s="9">
        <f>Lists!D13</f>
        <v/>
      </c>
      <c r="B13" s="9">
        <f>COUNTIFS(Games!$C$2:$C$801,$A13,Games!$A$2:$A$801,1)</f>
        <v/>
      </c>
      <c r="C13" s="9">
        <f>COUNTIFS(Games!$C$2:$C$801,$A13,Games!$A$2:$A$801,2)</f>
        <v/>
      </c>
      <c r="D13" s="9">
        <f>COUNTIFS(Games!$C$2:$C$801,$A13,Games!$A$2:$A$801,3)</f>
        <v/>
      </c>
      <c r="E13" s="9">
        <f>COUNTIFS(Games!$C$2:$C$801,$A13,Games!$A$2:$A$801,4)</f>
        <v/>
      </c>
      <c r="F13" s="9">
        <f>COUNTIFS(Games!$C$2:$C$801,$A13,Games!$A$2:$A$801,5)</f>
        <v/>
      </c>
      <c r="G13" s="9">
        <f>COUNTIFS(Games!$C$2:$C$801,$A13,Games!$A$2:$A$801,6)</f>
        <v/>
      </c>
      <c r="H13" s="9">
        <f>SUM(B13:G13)</f>
        <v/>
      </c>
      <c r="I13" s="9">
        <f>COUNTIFS(Games!$C$2:$C$801,$A13,Games!$D$2:$D$801,"")-COUNTIFS(Games!$C$2:$C$801,$A13,Games!$D$2:$D$801,"",Games!$A$2:$A$801,"")</f>
        <v/>
      </c>
    </row>
    <row r="14">
      <c r="A14" s="12" t="inlineStr">
        <is>
          <t>Total</t>
        </is>
      </c>
      <c r="B14" s="12">
        <f>SUM(B2:B13)</f>
        <v/>
      </c>
      <c r="C14" s="12">
        <f>SUM(C2:C13)</f>
        <v/>
      </c>
      <c r="D14" s="12">
        <f>SUM(D2:D13)</f>
        <v/>
      </c>
      <c r="E14" s="12">
        <f>SUM(E2:E13)</f>
        <v/>
      </c>
      <c r="F14" s="12">
        <f>SUM(F2:F13)</f>
        <v/>
      </c>
      <c r="G14" s="12">
        <f>SUM(G2:G13)</f>
        <v/>
      </c>
      <c r="H14" s="12">
        <f>SUM(H2:H13)</f>
        <v/>
      </c>
      <c r="I14" s="12">
        <f>SUM(I2:I13)</f>
        <v/>
      </c>
    </row>
    <row r="15">
      <c r="A15" s="13" t="inlineStr">
        <is>
          <t>Unassigned = games with no chapter (should equal forfeits).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4" max="4"/>
    <col width="8" customWidth="1" min="6" max="6"/>
    <col width="16" customWidth="1" min="7" max="7"/>
    <col width="16" customWidth="1" min="8" max="8"/>
  </cols>
  <sheetData>
    <row r="1">
      <c r="A1" s="10" t="inlineStr">
        <is>
          <t>Chapter code</t>
        </is>
      </c>
      <c r="B1" s="10" t="inlineStr">
        <is>
          <t>Chapter name</t>
        </is>
      </c>
      <c r="D1" s="8" t="inlineStr">
        <is>
          <t>Classification</t>
        </is>
      </c>
      <c r="F1" s="8" t="inlineStr">
        <is>
          <t>Week</t>
        </is>
      </c>
      <c r="G1" s="8" t="inlineStr">
        <is>
          <t>Round</t>
        </is>
      </c>
      <c r="H1" s="8" t="inlineStr">
        <is>
          <t>Expected games</t>
        </is>
      </c>
    </row>
    <row r="2">
      <c r="A2" s="4" t="inlineStr">
        <is>
          <t>ABI</t>
        </is>
      </c>
      <c r="B2" s="4" t="inlineStr">
        <is>
          <t>Abilene</t>
        </is>
      </c>
      <c r="D2" s="9" t="inlineStr">
        <is>
          <t>1A D1</t>
        </is>
      </c>
      <c r="F2" s="9" t="n">
        <v>1</v>
      </c>
      <c r="G2" s="9" t="inlineStr">
        <is>
          <t>Bi-District</t>
        </is>
      </c>
      <c r="H2" s="4" t="n">
        <v>352</v>
      </c>
    </row>
    <row r="3">
      <c r="A3" s="4" t="inlineStr">
        <is>
          <t>AMA</t>
        </is>
      </c>
      <c r="B3" s="4" t="inlineStr">
        <is>
          <t>Amarillo</t>
        </is>
      </c>
      <c r="D3" s="9" t="inlineStr">
        <is>
          <t>1A D2</t>
        </is>
      </c>
      <c r="F3" s="9" t="n">
        <v>2</v>
      </c>
      <c r="G3" s="9" t="inlineStr">
        <is>
          <t>Area</t>
        </is>
      </c>
      <c r="H3" s="4" t="n">
        <v>176</v>
      </c>
    </row>
    <row r="4">
      <c r="A4" s="4" t="inlineStr">
        <is>
          <t>AUS</t>
        </is>
      </c>
      <c r="B4" s="4" t="inlineStr">
        <is>
          <t>Austin</t>
        </is>
      </c>
      <c r="D4" s="9" t="inlineStr">
        <is>
          <t>2A D1</t>
        </is>
      </c>
      <c r="F4" s="9" t="n">
        <v>3</v>
      </c>
      <c r="G4" s="9" t="inlineStr">
        <is>
          <t>Regionals</t>
        </is>
      </c>
      <c r="H4" s="4" t="n">
        <v>88</v>
      </c>
    </row>
    <row r="5">
      <c r="A5" s="4" t="inlineStr">
        <is>
          <t>BEA</t>
        </is>
      </c>
      <c r="B5" s="4" t="inlineStr">
        <is>
          <t>Beaumont</t>
        </is>
      </c>
      <c r="D5" s="9" t="inlineStr">
        <is>
          <t>2A D2</t>
        </is>
      </c>
      <c r="F5" s="9" t="n">
        <v>4</v>
      </c>
      <c r="G5" s="9" t="inlineStr">
        <is>
          <t>Quarterfinals</t>
        </is>
      </c>
      <c r="H5" s="4" t="n">
        <v>44</v>
      </c>
    </row>
    <row r="6">
      <c r="A6" s="4" t="inlineStr">
        <is>
          <t>COM</t>
        </is>
      </c>
      <c r="B6" s="4" t="inlineStr">
        <is>
          <t>Commerce</t>
        </is>
      </c>
      <c r="D6" s="9" t="inlineStr">
        <is>
          <t>3A D1</t>
        </is>
      </c>
      <c r="F6" s="9" t="n">
        <v>5</v>
      </c>
      <c r="G6" s="9" t="inlineStr">
        <is>
          <t>Semifinals</t>
        </is>
      </c>
      <c r="H6" s="4" t="n">
        <v>22</v>
      </c>
    </row>
    <row r="7">
      <c r="A7" s="4" t="inlineStr">
        <is>
          <t>CSC</t>
        </is>
      </c>
      <c r="B7" s="4" t="inlineStr">
        <is>
          <t>College Station</t>
        </is>
      </c>
      <c r="D7" s="9" t="inlineStr">
        <is>
          <t>3A D2</t>
        </is>
      </c>
      <c r="F7" s="9" t="n">
        <v>6</v>
      </c>
      <c r="G7" s="9" t="inlineStr">
        <is>
          <t>Championship</t>
        </is>
      </c>
      <c r="H7" s="4" t="n">
        <v>10</v>
      </c>
    </row>
    <row r="8">
      <c r="A8" s="4" t="inlineStr">
        <is>
          <t>CTX</t>
        </is>
      </c>
      <c r="B8" s="4" t="inlineStr">
        <is>
          <t>Central Texas</t>
        </is>
      </c>
      <c r="D8" s="9" t="inlineStr">
        <is>
          <t>4A D1</t>
        </is>
      </c>
      <c r="F8" s="9" t="n"/>
      <c r="G8" s="9" t="n"/>
      <c r="H8" s="14" t="n"/>
    </row>
    <row r="9">
      <c r="A9" s="4" t="inlineStr">
        <is>
          <t>DAL</t>
        </is>
      </c>
      <c r="B9" s="4" t="inlineStr">
        <is>
          <t>Dallas</t>
        </is>
      </c>
      <c r="D9" s="9" t="inlineStr">
        <is>
          <t>4A D2</t>
        </is>
      </c>
      <c r="F9" s="9" t="n"/>
      <c r="G9" s="9" t="n"/>
      <c r="H9" s="14" t="n"/>
    </row>
    <row r="10">
      <c r="A10" s="4" t="inlineStr">
        <is>
          <t>ELP</t>
        </is>
      </c>
      <c r="B10" s="4" t="inlineStr">
        <is>
          <t>El Paso</t>
        </is>
      </c>
      <c r="D10" s="9" t="inlineStr">
        <is>
          <t>5A D1</t>
        </is>
      </c>
      <c r="F10" s="9" t="n"/>
      <c r="G10" s="9" t="n"/>
      <c r="H10" s="14" t="n"/>
    </row>
    <row r="11">
      <c r="A11" s="4" t="inlineStr">
        <is>
          <t>ETX</t>
        </is>
      </c>
      <c r="B11" s="4" t="inlineStr">
        <is>
          <t>East Texas</t>
        </is>
      </c>
      <c r="D11" s="9" t="inlineStr">
        <is>
          <t>5A D2</t>
        </is>
      </c>
      <c r="F11" s="9" t="n"/>
      <c r="G11" s="9" t="n"/>
      <c r="H11" s="14" t="n"/>
    </row>
    <row r="12">
      <c r="A12" s="4" t="inlineStr">
        <is>
          <t>FTW</t>
        </is>
      </c>
      <c r="B12" s="4" t="inlineStr">
        <is>
          <t>Fort Worth</t>
        </is>
      </c>
      <c r="D12" s="9" t="inlineStr">
        <is>
          <t>6A D1</t>
        </is>
      </c>
      <c r="F12" s="9" t="n"/>
      <c r="G12" s="9" t="n"/>
      <c r="H12" s="14" t="n"/>
    </row>
    <row r="13">
      <c r="A13" s="4" t="inlineStr">
        <is>
          <t>HOU</t>
        </is>
      </c>
      <c r="B13" s="4" t="inlineStr">
        <is>
          <t>Houston</t>
        </is>
      </c>
      <c r="D13" s="9" t="inlineStr">
        <is>
          <t>6A D2</t>
        </is>
      </c>
      <c r="F13" s="9" t="n"/>
      <c r="G13" s="9" t="n"/>
      <c r="H13" s="14" t="n"/>
    </row>
    <row r="14">
      <c r="A14" s="4" t="inlineStr">
        <is>
          <t>NTX</t>
        </is>
      </c>
      <c r="B14" s="4" t="inlineStr">
        <is>
          <t>North Texas</t>
        </is>
      </c>
    </row>
    <row r="15">
      <c r="A15" s="4" t="inlineStr">
        <is>
          <t>PBC</t>
        </is>
      </c>
      <c r="B15" s="4" t="inlineStr">
        <is>
          <t>Permian Basin</t>
        </is>
      </c>
    </row>
    <row r="16">
      <c r="A16" s="4" t="inlineStr">
        <is>
          <t>PVC</t>
        </is>
      </c>
      <c r="B16" s="4" t="inlineStr">
        <is>
          <t>Pecan Valley</t>
        </is>
      </c>
    </row>
    <row r="17">
      <c r="A17" s="4" t="inlineStr">
        <is>
          <t>RGV</t>
        </is>
      </c>
      <c r="B17" s="4" t="inlineStr">
        <is>
          <t>Rio Grande Valley</t>
        </is>
      </c>
    </row>
    <row r="18">
      <c r="A18" s="4" t="inlineStr">
        <is>
          <t>SAN</t>
        </is>
      </c>
      <c r="B18" s="4" t="inlineStr">
        <is>
          <t>San Angelo</t>
        </is>
      </c>
    </row>
    <row r="19">
      <c r="A19" s="4" t="inlineStr">
        <is>
          <t>SAT</t>
        </is>
      </c>
      <c r="B19" s="4" t="inlineStr">
        <is>
          <t>San Antonio</t>
        </is>
      </c>
    </row>
    <row r="20">
      <c r="A20" s="4" t="inlineStr">
        <is>
          <t>SFA</t>
        </is>
      </c>
      <c r="B20" s="4" t="inlineStr">
        <is>
          <t>Stephen F. Austin</t>
        </is>
      </c>
    </row>
    <row r="21">
      <c r="A21" s="4" t="inlineStr">
        <is>
          <t>SPC</t>
        </is>
      </c>
      <c r="B21" s="4" t="inlineStr">
        <is>
          <t>South Plains</t>
        </is>
      </c>
    </row>
    <row r="22">
      <c r="A22" s="4" t="inlineStr">
        <is>
          <t>STX</t>
        </is>
      </c>
      <c r="B22" s="4" t="inlineStr">
        <is>
          <t>South Texas</t>
        </is>
      </c>
    </row>
    <row r="23">
      <c r="A23" s="4" t="inlineStr">
        <is>
          <t>TYL</t>
        </is>
      </c>
      <c r="B23" s="4" t="inlineStr">
        <is>
          <t>Tyler</t>
        </is>
      </c>
    </row>
    <row r="24">
      <c r="A24" s="4" t="inlineStr">
        <is>
          <t>WAC</t>
        </is>
      </c>
      <c r="B24" s="4" t="inlineStr">
        <is>
          <t>Waco</t>
        </is>
      </c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  <row r="30">
      <c r="A30" s="4" t="n"/>
      <c r="B30" s="4" t="n"/>
    </row>
    <row r="31">
      <c r="A31" s="4" t="n"/>
      <c r="B31" s="4" t="n"/>
    </row>
    <row r="32">
      <c r="A32" s="4" t="n"/>
      <c r="B32" s="4" t="n"/>
    </row>
    <row r="33">
      <c r="A33" s="4" t="n"/>
      <c r="B33" s="4" t="n"/>
    </row>
    <row r="34">
      <c r="A34" s="4" t="n"/>
      <c r="B34" s="4" t="n"/>
    </row>
    <row r="35">
      <c r="A35" s="4" t="n"/>
      <c r="B35" s="4" t="n"/>
    </row>
    <row r="36">
      <c r="A36" s="4" t="n"/>
      <c r="B36" s="4" t="n"/>
    </row>
    <row r="37">
      <c r="A37" s="4" t="n"/>
      <c r="B37" s="4" t="n"/>
    </row>
    <row r="38">
      <c r="A38" s="4" t="n"/>
      <c r="B38" s="4" t="n"/>
    </row>
    <row r="39">
      <c r="A39" s="4" t="n"/>
      <c r="B39" s="4" t="n"/>
    </row>
    <row r="40">
      <c r="A40" s="4" t="n"/>
      <c r="B40" s="4" t="n"/>
    </row>
    <row r="41">
      <c r="A41" s="4" t="n"/>
      <c r="B41" s="4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2026-10-26T05:08:56Z</dcterms:created>
  <dcterms:modified xmlns:dcterms="http://purl.org/dc/terms/" xmlns:xsi="http://www.w3.org/2001/XMLSchema-instance" xsi:type="dcterms:W3CDTF">2026-10-26T05:08:57Z</dcterms:modified>
</cp:coreProperties>
</file>